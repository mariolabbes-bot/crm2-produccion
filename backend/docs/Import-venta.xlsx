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docs/"/>
    </mc:Choice>
  </mc:AlternateContent>
  <xr:revisionPtr revIDLastSave="0" documentId="13_ncr:1_{E85B7131-72C9-0E4E-9EF6-CC047125D608}" xr6:coauthVersionLast="47" xr6:coauthVersionMax="47" xr10:uidLastSave="{00000000-0000-0000-0000-000000000000}"/>
  <bookViews>
    <workbookView xWindow="0" yWindow="620" windowWidth="28800" windowHeight="16220" xr2:uid="{ABA4EE45-D522-914B-8B66-B29C7B142465}"/>
  </bookViews>
  <sheets>
    <sheet name="reporte ventas detalle 2025-12-" sheetId="1" r:id="rId1"/>
  </sheets>
  <definedNames>
    <definedName name="_xlnm._FilterDatabase" localSheetId="0" hidden="1">'reporte ventas detalle 2025-12-'!$A$1:$W$10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2" i="1"/>
</calcChain>
</file>

<file path=xl/sharedStrings.xml><?xml version="1.0" encoding="utf-8"?>
<sst xmlns="http://schemas.openxmlformats.org/spreadsheetml/2006/main" count="164" uniqueCount="77">
  <si>
    <t>Sucursal</t>
  </si>
  <si>
    <t>Tipo de documento</t>
  </si>
  <si>
    <t>Folio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</si>
  <si>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</si>
  <si>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</si>
  <si>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</si>
  <si>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</si>
  <si>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</si>
  <si>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</si>
  <si>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</si>
  <si>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SKU</t>
  </si>
  <si>
    <t>Cantidad</t>
  </si>
  <si>
    <t>Precio</t>
  </si>
  <si>
    <t>Recargo</t>
  </si>
  <si>
    <t>Sublinea</t>
  </si>
  <si>
    <t>Marca</t>
  </si>
  <si>
    <t>Linares</t>
  </si>
  <si>
    <t>Boleta</t>
  </si>
  <si>
    <t>66666666-6</t>
  </si>
  <si>
    <t>Cliente LINARES Generico</t>
  </si>
  <si>
    <t>Eduardo</t>
  </si>
  <si>
    <t>Cerrada</t>
  </si>
  <si>
    <t>Pagada</t>
  </si>
  <si>
    <t>Sin Confirmar</t>
  </si>
  <si>
    <t>AP1018427</t>
  </si>
  <si>
    <t>195/55R16 91VXL A609 APLUS</t>
  </si>
  <si>
    <t>articulo</t>
  </si>
  <si>
    <t>Neum√°ticos</t>
  </si>
  <si>
    <t>Neum√°ticos Passenger</t>
  </si>
  <si>
    <t>Aplus</t>
  </si>
  <si>
    <t>Mercaderia</t>
  </si>
  <si>
    <t>SHE-550039941L</t>
  </si>
  <si>
    <t>BIDON SHELL HELIX HX5 15W40 1 LT (EU)</t>
  </si>
  <si>
    <t>Lubricantes</t>
  </si>
  <si>
    <t>Motores de Vehiculos Livianos</t>
  </si>
  <si>
    <t>Shell</t>
  </si>
  <si>
    <t>FW713/16</t>
  </si>
  <si>
    <t>W713/16 FILTRO ACEITE FIAT UNO IT</t>
  </si>
  <si>
    <t>Filtros</t>
  </si>
  <si>
    <t>Filtro de Aceite</t>
  </si>
  <si>
    <t>Mann Filter</t>
  </si>
  <si>
    <t>Geronimo Mendez</t>
  </si>
  <si>
    <t>Factura Venta</t>
  </si>
  <si>
    <t>76367317-0</t>
  </si>
  <si>
    <t>SOCIEDAD DE TRANSPORTES EDMUNDO GRES LIMITADA</t>
  </si>
  <si>
    <t>Alex</t>
  </si>
  <si>
    <t>Impaga</t>
  </si>
  <si>
    <t>SERV-06B</t>
  </si>
  <si>
    <t>SERVICIO TRASLADO DE NEUMATICO PEDRO</t>
  </si>
  <si>
    <t>servicio</t>
  </si>
  <si>
    <t>Servicios Antiguos</t>
  </si>
  <si>
    <t>76668592-7</t>
  </si>
  <si>
    <t>REPUESTOS AUT. PEDRO REYNUABA E.I.R.L.</t>
  </si>
  <si>
    <t>Omar</t>
  </si>
  <si>
    <t>SHE-550040331</t>
  </si>
  <si>
    <t>CAJA GENERIC OIL 4 LITROS</t>
  </si>
  <si>
    <t>TOT-157103</t>
  </si>
  <si>
    <t>CAJA TOTAL QUARTZ INEO MC3 5W30 3X5</t>
  </si>
  <si>
    <t>Total</t>
  </si>
  <si>
    <t>711-E</t>
  </si>
  <si>
    <t>ANTICONGELANTE 711-GL ESPECIAL 1GLN</t>
  </si>
  <si>
    <t>Otros Productos de Venta</t>
  </si>
  <si>
    <t>Aditivos de Veh√≠culos</t>
  </si>
  <si>
    <t>Versachem</t>
  </si>
  <si>
    <t>9262987-2</t>
  </si>
  <si>
    <t>EDUARDO ENRIQUE PONCE</t>
  </si>
  <si>
    <t>SHE-550040331L</t>
  </si>
  <si>
    <t>BIDON HELIX HX7 10W40 (EU) 4 LTS</t>
  </si>
  <si>
    <t>SHE-550040352L</t>
  </si>
  <si>
    <t>BIDON SHELL HELIX HX7 1 LT (EU)</t>
  </si>
  <si>
    <t>valor total</t>
  </si>
  <si>
    <t>Fecha emision</t>
  </si>
  <si>
    <t>Indice</t>
  </si>
  <si>
    <t>Descripcion</t>
  </si>
  <si>
    <t>Tipo linea</t>
  </si>
  <si>
    <t>Linea</t>
  </si>
  <si>
    <t>Tipo 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</si>
</sst>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2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0B49-ECD4-8249-A467-A714EA5638A2}">
  <dimension ref="A1:W10"/>
  <sheetViews>
    <sheetView tabSelected="1" workbookViewId="0">
      <selection activeCell="D3" sqref="D3"/>
    </sheetView>
  </sheetViews>
  <sheetFormatPr baseColWidth="10" defaultRowHeight="16" x14ac:dyDescent="0.2"/>
  <cols>
    <col min="4" max="4" width="10.83203125" style="1"/>
    <col min="16" max="17" width="10.83203125" style="2"/>
  </cols>
  <sheetData>
    <row r="1" spans="1:23" x14ac:dyDescent="0.2">
      <c r="A1" t="s">
        <v>0</v>
      </c>
      <c r="B1" t="s">
        <v>1</v>
      </c>
      <c r="C1" t="s">
        <v>2</v>
      </c>
      <c r="D1" s="1" t="s">
        <v>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72</v>
      </c>
      <c r="M1" t="s">
        <v>10</v>
      </c>
      <c r="N1" t="s">
        <v>73</v>
      </c>
      <c r="O1" t="s">
        <v>11</v>
      </c>
      <c r="P1" s="2" t="s">
        <v>12</v>
      </c>
      <c r="Q1" s="2" t="s">
        <v>70</v>
      </c>
      <c r="R1" t="s">
        <v>13</v>
      </c>
      <c r="S1" t="s">
        <v>74</v>
      </c>
      <c r="T1" t="s">
        <v>75</v>
      </c>
      <c r="U1" t="s">
        <v>14</v>
      </c>
      <c r="V1" t="s">
        <v>15</v>
      </c>
      <c r="W1" t="s">
        <v>76</v>
      </c>
    </row>
    <row r="2" spans="1:23" x14ac:dyDescent="0.2">
      <c r="A2" t="s">
        <v>16</v>
      </c>
      <c r="B2" t="s">
        <v>17</v>
      </c>
      <c r="C2">
        <v>136613</v>
      </c>
      <c r="D2" s="1">
        <v>46022.566111111111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 t="s">
        <v>25</v>
      </c>
      <c r="O2">
        <v>1</v>
      </c>
      <c r="P2" s="2">
        <v>36241</v>
      </c>
      <c r="Q2" s="2">
        <f>+P2*O2</f>
        <v>36241</v>
      </c>
      <c r="R2">
        <v>0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</row>
    <row r="3" spans="1:23" x14ac:dyDescent="0.2">
      <c r="A3" t="s">
        <v>16</v>
      </c>
      <c r="B3" t="s">
        <v>17</v>
      </c>
      <c r="C3">
        <v>136612</v>
      </c>
      <c r="D3" s="1">
        <v>46022.557488425926</v>
      </c>
      <c r="E3" t="s">
        <v>18</v>
      </c>
      <c r="F3" t="s">
        <v>19</v>
      </c>
      <c r="G3" t="s">
        <v>20</v>
      </c>
      <c r="H3" t="s">
        <v>20</v>
      </c>
      <c r="I3" t="s">
        <v>21</v>
      </c>
      <c r="J3" t="s">
        <v>22</v>
      </c>
      <c r="K3" t="s">
        <v>23</v>
      </c>
      <c r="L3">
        <v>1</v>
      </c>
      <c r="M3" t="s">
        <v>31</v>
      </c>
      <c r="N3" t="s">
        <v>32</v>
      </c>
      <c r="O3">
        <v>4</v>
      </c>
      <c r="P3" s="2">
        <v>5468</v>
      </c>
      <c r="Q3" s="2">
        <f t="shared" ref="Q3:Q10" si="0">+P3*O3</f>
        <v>21872</v>
      </c>
      <c r="R3">
        <v>0</v>
      </c>
      <c r="S3" t="s">
        <v>26</v>
      </c>
      <c r="T3" t="s">
        <v>33</v>
      </c>
      <c r="U3" t="s">
        <v>34</v>
      </c>
      <c r="V3" t="s">
        <v>35</v>
      </c>
      <c r="W3" t="s">
        <v>30</v>
      </c>
    </row>
    <row r="4" spans="1:23" x14ac:dyDescent="0.2">
      <c r="A4" t="s">
        <v>16</v>
      </c>
      <c r="B4" t="s">
        <v>17</v>
      </c>
      <c r="C4">
        <v>136612</v>
      </c>
      <c r="D4" s="1">
        <v>46022.557488425926</v>
      </c>
      <c r="E4" t="s">
        <v>18</v>
      </c>
      <c r="F4" t="s">
        <v>19</v>
      </c>
      <c r="G4" t="s">
        <v>20</v>
      </c>
      <c r="H4" t="s">
        <v>20</v>
      </c>
      <c r="I4" t="s">
        <v>21</v>
      </c>
      <c r="J4" t="s">
        <v>22</v>
      </c>
      <c r="K4" t="s">
        <v>23</v>
      </c>
      <c r="L4">
        <v>2</v>
      </c>
      <c r="M4" t="s">
        <v>36</v>
      </c>
      <c r="N4" t="s">
        <v>37</v>
      </c>
      <c r="O4">
        <v>1</v>
      </c>
      <c r="P4" s="2">
        <v>6059</v>
      </c>
      <c r="Q4" s="2">
        <f t="shared" si="0"/>
        <v>6059</v>
      </c>
      <c r="R4">
        <v>0</v>
      </c>
      <c r="S4" t="s">
        <v>26</v>
      </c>
      <c r="T4" t="s">
        <v>38</v>
      </c>
      <c r="U4" t="s">
        <v>39</v>
      </c>
      <c r="V4" t="s">
        <v>40</v>
      </c>
      <c r="W4" t="s">
        <v>30</v>
      </c>
    </row>
    <row r="5" spans="1:23" x14ac:dyDescent="0.2">
      <c r="A5" t="s">
        <v>41</v>
      </c>
      <c r="B5" t="s">
        <v>42</v>
      </c>
      <c r="C5">
        <v>349702</v>
      </c>
      <c r="D5" s="1">
        <v>46022.55265046296</v>
      </c>
      <c r="E5" t="s">
        <v>43</v>
      </c>
      <c r="F5" t="s">
        <v>44</v>
      </c>
      <c r="G5" t="s">
        <v>45</v>
      </c>
      <c r="H5" t="s">
        <v>45</v>
      </c>
      <c r="I5" t="s">
        <v>21</v>
      </c>
      <c r="J5" t="s">
        <v>46</v>
      </c>
      <c r="K5" t="s">
        <v>23</v>
      </c>
      <c r="L5">
        <v>1</v>
      </c>
      <c r="M5" t="s">
        <v>47</v>
      </c>
      <c r="N5" t="s">
        <v>48</v>
      </c>
      <c r="O5">
        <v>3</v>
      </c>
      <c r="P5" s="2">
        <v>3307</v>
      </c>
      <c r="Q5" s="2">
        <f t="shared" si="0"/>
        <v>9921</v>
      </c>
      <c r="R5">
        <v>0</v>
      </c>
      <c r="S5" t="s">
        <v>49</v>
      </c>
      <c r="T5" t="s">
        <v>50</v>
      </c>
    </row>
    <row r="6" spans="1:23" x14ac:dyDescent="0.2">
      <c r="A6" t="s">
        <v>41</v>
      </c>
      <c r="B6" t="s">
        <v>42</v>
      </c>
      <c r="C6">
        <v>349701</v>
      </c>
      <c r="D6" s="1">
        <v>46022.540983796294</v>
      </c>
      <c r="E6" t="s">
        <v>51</v>
      </c>
      <c r="F6" t="s">
        <v>52</v>
      </c>
      <c r="G6" t="s">
        <v>53</v>
      </c>
      <c r="H6" t="s">
        <v>53</v>
      </c>
      <c r="I6" t="s">
        <v>21</v>
      </c>
      <c r="J6" t="s">
        <v>46</v>
      </c>
      <c r="K6" t="s">
        <v>23</v>
      </c>
      <c r="L6">
        <v>1</v>
      </c>
      <c r="M6" t="s">
        <v>54</v>
      </c>
      <c r="N6" t="s">
        <v>55</v>
      </c>
      <c r="O6">
        <v>1</v>
      </c>
      <c r="P6" s="2">
        <v>57947</v>
      </c>
      <c r="Q6" s="2">
        <f t="shared" si="0"/>
        <v>57947</v>
      </c>
      <c r="R6">
        <v>0</v>
      </c>
      <c r="S6" t="s">
        <v>26</v>
      </c>
      <c r="T6" t="s">
        <v>33</v>
      </c>
      <c r="U6" t="s">
        <v>34</v>
      </c>
      <c r="V6" t="s">
        <v>35</v>
      </c>
      <c r="W6" t="s">
        <v>30</v>
      </c>
    </row>
    <row r="7" spans="1:23" x14ac:dyDescent="0.2">
      <c r="A7" t="s">
        <v>41</v>
      </c>
      <c r="B7" t="s">
        <v>42</v>
      </c>
      <c r="C7">
        <v>349701</v>
      </c>
      <c r="D7" s="1">
        <v>46022.540983796294</v>
      </c>
      <c r="E7" t="s">
        <v>51</v>
      </c>
      <c r="F7" t="s">
        <v>52</v>
      </c>
      <c r="G7" t="s">
        <v>53</v>
      </c>
      <c r="H7" t="s">
        <v>53</v>
      </c>
      <c r="I7" t="s">
        <v>21</v>
      </c>
      <c r="J7" t="s">
        <v>46</v>
      </c>
      <c r="K7" t="s">
        <v>23</v>
      </c>
      <c r="L7">
        <v>2</v>
      </c>
      <c r="M7" t="s">
        <v>56</v>
      </c>
      <c r="N7" t="s">
        <v>57</v>
      </c>
      <c r="O7">
        <v>1</v>
      </c>
      <c r="P7" s="2">
        <v>91900</v>
      </c>
      <c r="Q7" s="2">
        <f t="shared" si="0"/>
        <v>91900</v>
      </c>
      <c r="R7">
        <v>0</v>
      </c>
      <c r="S7" t="s">
        <v>26</v>
      </c>
      <c r="T7" t="s">
        <v>33</v>
      </c>
      <c r="U7" t="s">
        <v>34</v>
      </c>
      <c r="V7" t="s">
        <v>58</v>
      </c>
      <c r="W7" t="s">
        <v>30</v>
      </c>
    </row>
    <row r="8" spans="1:23" x14ac:dyDescent="0.2">
      <c r="A8" t="s">
        <v>41</v>
      </c>
      <c r="B8" t="s">
        <v>42</v>
      </c>
      <c r="C8">
        <v>349701</v>
      </c>
      <c r="D8" s="1">
        <v>46022.540983796294</v>
      </c>
      <c r="E8" t="s">
        <v>51</v>
      </c>
      <c r="F8" t="s">
        <v>52</v>
      </c>
      <c r="G8" t="s">
        <v>53</v>
      </c>
      <c r="H8" t="s">
        <v>53</v>
      </c>
      <c r="I8" t="s">
        <v>21</v>
      </c>
      <c r="J8" t="s">
        <v>46</v>
      </c>
      <c r="K8" t="s">
        <v>23</v>
      </c>
      <c r="L8">
        <v>3</v>
      </c>
      <c r="M8" t="s">
        <v>59</v>
      </c>
      <c r="N8" t="s">
        <v>60</v>
      </c>
      <c r="O8">
        <v>6</v>
      </c>
      <c r="P8" s="2">
        <v>3452</v>
      </c>
      <c r="Q8" s="2">
        <f t="shared" si="0"/>
        <v>20712</v>
      </c>
      <c r="R8">
        <v>0</v>
      </c>
      <c r="S8" t="s">
        <v>26</v>
      </c>
      <c r="T8" t="s">
        <v>61</v>
      </c>
      <c r="U8" t="s">
        <v>62</v>
      </c>
      <c r="V8" t="s">
        <v>63</v>
      </c>
      <c r="W8" t="s">
        <v>30</v>
      </c>
    </row>
    <row r="9" spans="1:23" x14ac:dyDescent="0.2">
      <c r="A9" t="s">
        <v>16</v>
      </c>
      <c r="B9" t="s">
        <v>17</v>
      </c>
      <c r="C9">
        <v>136611</v>
      </c>
      <c r="D9" s="1">
        <v>46022.538912037038</v>
      </c>
      <c r="E9" t="s">
        <v>64</v>
      </c>
      <c r="F9" t="s">
        <v>65</v>
      </c>
      <c r="G9" t="s">
        <v>20</v>
      </c>
      <c r="H9" t="s">
        <v>20</v>
      </c>
      <c r="I9" t="s">
        <v>21</v>
      </c>
      <c r="J9" t="s">
        <v>22</v>
      </c>
      <c r="K9" t="s">
        <v>23</v>
      </c>
      <c r="L9">
        <v>1</v>
      </c>
      <c r="M9" t="s">
        <v>66</v>
      </c>
      <c r="N9" t="s">
        <v>67</v>
      </c>
      <c r="O9">
        <v>2</v>
      </c>
      <c r="P9" s="2">
        <v>17287</v>
      </c>
      <c r="Q9" s="2">
        <f t="shared" si="0"/>
        <v>34574</v>
      </c>
      <c r="R9">
        <v>0</v>
      </c>
      <c r="S9" t="s">
        <v>26</v>
      </c>
      <c r="T9" t="s">
        <v>33</v>
      </c>
      <c r="U9" t="s">
        <v>34</v>
      </c>
      <c r="V9" t="s">
        <v>35</v>
      </c>
      <c r="W9" t="s">
        <v>30</v>
      </c>
    </row>
    <row r="10" spans="1:23" x14ac:dyDescent="0.2">
      <c r="A10" t="s">
        <v>16</v>
      </c>
      <c r="B10" t="s">
        <v>17</v>
      </c>
      <c r="C10">
        <v>136611</v>
      </c>
      <c r="D10" s="1">
        <v>46022.538912037038</v>
      </c>
      <c r="E10" t="s">
        <v>64</v>
      </c>
      <c r="F10" t="s">
        <v>65</v>
      </c>
      <c r="G10" t="s">
        <v>20</v>
      </c>
      <c r="H10" t="s">
        <v>20</v>
      </c>
      <c r="I10" t="s">
        <v>21</v>
      </c>
      <c r="J10" t="s">
        <v>22</v>
      </c>
      <c r="K10" t="s">
        <v>23</v>
      </c>
      <c r="L10">
        <v>2</v>
      </c>
      <c r="M10" t="s">
        <v>68</v>
      </c>
      <c r="N10" t="s">
        <v>69</v>
      </c>
      <c r="O10">
        <v>1</v>
      </c>
      <c r="P10" s="2">
        <v>4690</v>
      </c>
      <c r="Q10" s="2">
        <f t="shared" si="0"/>
        <v>4690</v>
      </c>
      <c r="R10">
        <v>0</v>
      </c>
      <c r="S10" t="s">
        <v>26</v>
      </c>
      <c r="T10" t="s">
        <v>33</v>
      </c>
      <c r="U10" t="s">
        <v>34</v>
      </c>
      <c r="V10" t="s">
        <v>35</v>
      </c>
      <c r="W10" t="s">
        <v>30</v>
      </c>
    </row>
  </sheetData>
  <autoFilter ref="A1:W10" xr:uid="{62220B49-ECD4-8249-A467-A714EA5638A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2025-12-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2025-12-31T16:58:07Z</dcterms:created>
  <dcterms:modified xsi:type="dcterms:W3CDTF">2026-01-08T11:57:16Z</dcterms:modified>
</cp:coreProperties>
</file>