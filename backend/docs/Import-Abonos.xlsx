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docs/"/>
    </mc:Choice>
  </mc:AlternateContent>
  <xr:revisionPtr revIDLastSave="0" documentId="13_ncr:1_{45075DCF-1412-AE41-AE4A-CBEA7191E15A}" xr6:coauthVersionLast="47" xr6:coauthVersionMax="47" xr10:uidLastSave="{00000000-0000-0000-0000-000000000000}"/>
  <bookViews>
    <workbookView xWindow="0" yWindow="620" windowWidth="28800" windowHeight="16220" activeTab="1" xr2:uid="{6005E0F4-7202-7547-9234-8BAC44DEEBBA}"/>
  </bookViews>
  <sheets>
    <sheet name="Hoja1" sheetId="2" r:id="rId1"/>
    <sheet name="reporte ventas detalle 2025-12-" sheetId="1" r:id="rId2"/>
  </sheets>
  <definedNames>
    <definedName name="_xlnm._FilterDatabase" localSheetId="1" hidden="1">'reporte ventas detalle 2025-12-'!$A$1:$Q$10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2" i="1"/>
</calcChain>
</file>

<file path=xl/sharedStrings.xml><?xml version="1.0" encoding="utf-8"?>
<sst xmlns="http://schemas.openxmlformats.org/spreadsheetml/2006/main" count="110" uniqueCount="56">
  <si>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</si>
  <si>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</si>
  <si>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</si>
  <si>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</si>
  <si>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</si>
  <si>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</si>
  <si>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</si>
  <si>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</si>
  <si>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</si>
  <si>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</si>
  <si>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</si>
  <si>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</si>
  <si>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</si>
  <si>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</si>
  <si>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</si>
  <si>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Geronimo Mendez</t>
  </si>
  <si>
    <t>76418946-9</t>
  </si>
  <si>
    <t>TRANSPORTES DM LIMITADA</t>
  </si>
  <si>
    <t>Alex</t>
  </si>
  <si>
    <t>Contraloria</t>
  </si>
  <si>
    <t>Selene</t>
  </si>
  <si>
    <t>Cheque</t>
  </si>
  <si>
    <t>En Caja Operacional</t>
  </si>
  <si>
    <t>Linares</t>
  </si>
  <si>
    <t>66666666-6</t>
  </si>
  <si>
    <t>Cliente LINARES Generico</t>
  </si>
  <si>
    <t>Eduardo</t>
  </si>
  <si>
    <t>Efectivo</t>
  </si>
  <si>
    <t>76025511-4</t>
  </si>
  <si>
    <t>REPUESTOS Y SERVICIOS MU√ëOZ LTDA.</t>
  </si>
  <si>
    <t>Nelson</t>
  </si>
  <si>
    <t>Antillanca</t>
  </si>
  <si>
    <t>77013521-4</t>
  </si>
  <si>
    <t>SERVICIO MECANICA AUTOMOTRIZ WILLIAM NICOLAS CARDENAS RIOS E I R L</t>
  </si>
  <si>
    <t>Jorge</t>
  </si>
  <si>
    <t>Nataly</t>
  </si>
  <si>
    <t>78983390-7</t>
  </si>
  <si>
    <t>SERVICIOS INTEGRALES AGUILERA MOYANO LTD</t>
  </si>
  <si>
    <t>Omar</t>
  </si>
  <si>
    <t>Marisol</t>
  </si>
  <si>
    <t>Emilio</t>
  </si>
  <si>
    <t>Roberto</t>
  </si>
  <si>
    <t>Maiko</t>
  </si>
  <si>
    <t>Matias Felipe</t>
  </si>
  <si>
    <t>Eduardo Rojas</t>
  </si>
  <si>
    <t>Marcelo</t>
  </si>
  <si>
    <t>Victoria</t>
  </si>
  <si>
    <t>JOAQUIN</t>
  </si>
  <si>
    <t>Luis</t>
  </si>
  <si>
    <t>Milton</t>
  </si>
  <si>
    <t>Alejandra</t>
  </si>
  <si>
    <t>Etiquetas de fila</t>
  </si>
  <si>
    <t>Total general</t>
  </si>
  <si>
    <t>Suma de Monto devuelto</t>
  </si>
  <si>
    <t>Monto Neto</t>
  </si>
  <si>
    <t>Monto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</si>
</sst>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2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Labbe" refreshedDate="46022.584747685185" createdVersion="8" refreshedVersion="8" minRefreshableVersion="3" recordCount="1882" xr:uid="{B15D2C7E-AC0D-F54E-85ED-B04D79364003}">
  <cacheSource type="worksheet">
    <worksheetSource ref="A1:Q10" sheet="reporte ventas detalle 2025-12-"/>
  </cacheSource>
  <cacheFields count="17">
    <cacheField name="Sucursal" numFmtId="0">
      <sharedItems/>
    </cacheField>
    <cacheField name="Folio" numFmtId="0">
      <sharedItems containsSemiMixedTypes="0" containsString="0" containsNumber="1" containsInteger="1" minValue="1" maxValue="221457"/>
    </cacheField>
    <cacheField name="Fecha" numFmtId="14">
      <sharedItems containsSemiMixedTypes="0" containsNonDate="0" containsDate="1" containsString="0" minDate="2025-12-01T08:56:48" maxDate="2025-12-31T13:36:20"/>
    </cacheField>
    <cacheField name="Identificador cliente" numFmtId="0">
      <sharedItems/>
    </cacheField>
    <cacheField name="Cliente" numFmtId="0">
      <sharedItems/>
    </cacheField>
    <cacheField name="Vendedor cliente" numFmtId="0">
      <sharedItems count="18">
        <s v="Alex"/>
        <s v="Eduardo"/>
        <s v="Nelson"/>
        <s v="Jorge"/>
        <s v="Omar"/>
        <s v="Marisol"/>
        <s v="Emilio"/>
        <s v="Roberto"/>
        <s v="Maiko"/>
        <s v="Matias Felipe"/>
        <s v="Eduardo Rojas"/>
        <s v="Marcelo"/>
        <s v="Victoria"/>
        <s v="JOAQUIN"/>
        <s v="Luis"/>
        <s v="Milton"/>
        <s v="Nataly"/>
        <s v="Alejandra"/>
      </sharedItems>
    </cacheField>
    <cacheField name="Caja operacional" numFmtId="0">
      <sharedItems/>
    </cacheField>
    <cacheField name="Usuario de ingreso" numFmtId="0">
      <sharedItems/>
    </cacheField>
    <cacheField name="Monto total" numFmtId="0">
      <sharedItems containsSemiMixedTypes="0" containsString="0" containsNumber="1" containsInteger="1" minValue="-8152685" maxValue="7998828"/>
    </cacheField>
    <cacheField name="Saldo favor utilizado" numFmtId="0">
      <sharedItems containsSemiMixedTypes="0" containsString="0" containsNumber="1" containsInteger="1" minValue="0" maxValue="211383"/>
    </cacheField>
    <cacheField name="Saldo favor total" numFmtId="0">
      <sharedItems containsSemiMixedTypes="0" containsString="0" containsNumber="1" containsInteger="1" minValue="0" maxValue="786863"/>
    </cacheField>
    <cacheField name="Tipo pago" numFmtId="0">
      <sharedItems/>
    </cacheField>
    <cacheField name="Estado abono" numFmtId="0">
      <sharedItems/>
    </cacheField>
    <cacheField name="Identificador abono" numFmtId="0">
      <sharedItems containsString="0" containsBlank="1" containsNumber="1" containsInteger="1" minValue="1" maxValue="78048910"/>
    </cacheField>
    <cacheField name="Fecha vencimiento" numFmtId="0">
      <sharedItems containsDate="1" containsBlank="1" containsMixedTypes="1" minDate="2025-01-10T00:00:00" maxDate="2026-05-01T00:00:00"/>
    </cacheField>
    <cacheField name="Monto" numFmtId="42">
      <sharedItems containsSemiMixedTypes="0" containsString="0" containsNumber="1" containsInteger="1" minValue="0" maxValue="8152685"/>
    </cacheField>
    <cacheField name="Monto devuelto" numFmtId="42">
      <sharedItems containsSemiMixedTypes="0" containsString="0" containsNumber="1" minValue="0" maxValue="6850995.79831932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s v="Geronimo Mendez"/>
    <n v="221457"/>
    <d v="2025-12-31T13:36:20"/>
    <s v="76418946-9"/>
    <s v="TRANSPORTES DM LIMITADA"/>
    <x v="0"/>
    <s v="Contraloria"/>
    <s v="Selene"/>
    <n v="787780"/>
    <n v="0"/>
    <n v="0"/>
    <s v="Cheque"/>
    <s v="En Caja Operacional"/>
    <n v="4623349"/>
    <d v="2025-10-09T00:00:00"/>
    <n v="787780"/>
    <n v="662000"/>
  </r>
  <r>
    <s v="Linares"/>
    <n v="221456"/>
    <d v="2025-12-31T13:35:12"/>
    <s v="66666666-6"/>
    <s v="Cliente LINARES Generico"/>
    <x v="1"/>
    <s v="Linares"/>
    <s v="Eduardo"/>
    <n v="43127"/>
    <n v="0"/>
    <n v="0"/>
    <s v="Efectivo"/>
    <s v="En Caja Operacional"/>
    <m/>
    <m/>
    <n v="43127"/>
    <n v="36241.176470588238"/>
  </r>
  <r>
    <s v="Geronimo Mendez"/>
    <n v="221455"/>
    <d v="2025-12-31T13:32:44"/>
    <s v="76025511-4"/>
    <s v="REPUESTOS Y SERVICIOS MU√ëOZ LTDA."/>
    <x v="2"/>
    <s v="Contraloria"/>
    <s v="Selene"/>
    <n v="1084469"/>
    <n v="0"/>
    <n v="1"/>
    <s v="Cheque"/>
    <s v="En Caja Operacional"/>
    <n v="13924"/>
    <d v="2025-12-26T00:00:00"/>
    <n v="750905"/>
    <n v="631012.60504201683"/>
  </r>
  <r>
    <s v="Geronimo Mendez"/>
    <n v="221455"/>
    <d v="2025-12-31T13:32:44"/>
    <s v="76025511-4"/>
    <s v="REPUESTOS Y SERVICIOS MU√ëOZ LTDA."/>
    <x v="2"/>
    <s v="Contraloria"/>
    <s v="Selene"/>
    <n v="1084469"/>
    <n v="0"/>
    <n v="1"/>
    <s v="Cheque"/>
    <s v="En Caja Operacional"/>
    <n v="13909"/>
    <d v="2025-12-19T00:00:00"/>
    <n v="333564"/>
    <n v="280305.8823529412"/>
  </r>
  <r>
    <s v="Antillanca"/>
    <n v="221454"/>
    <d v="2025-12-31T13:31:47"/>
    <s v="77013521-4"/>
    <s v="SERVICIO MECANICA AUTOMOTRIZ WILLIAM NICOLAS CARDENAS RIOS E I R L"/>
    <x v="3"/>
    <s v="Antillanca"/>
    <s v="Nataly"/>
    <n v="221268"/>
    <n v="0"/>
    <n v="0"/>
    <s v="Cheque"/>
    <s v="En Caja Operacional"/>
    <n v="192"/>
    <d v="2026-01-30T00:00:00"/>
    <n v="110634"/>
    <n v="92969.747899159673"/>
  </r>
  <r>
    <s v="Antillanca"/>
    <n v="221454"/>
    <d v="2025-12-31T13:31:47"/>
    <s v="77013521-4"/>
    <s v="SERVICIO MECANICA AUTOMOTRIZ WILLIAM NICOLAS CARDENAS RIOS E I R L"/>
    <x v="3"/>
    <s v="Antillanca"/>
    <s v="Nataly"/>
    <n v="221268"/>
    <n v="0"/>
    <n v="0"/>
    <s v="Cheque"/>
    <s v="En Caja Operacional"/>
    <n v="191"/>
    <d v="2025-12-30T00:00:00"/>
    <n v="110634"/>
    <n v="92969.747899159673"/>
  </r>
  <r>
    <s v="Antillanca"/>
    <n v="221453"/>
    <d v="2025-12-31T13:28:17"/>
    <s v="78983390-7"/>
    <s v="SERVICIOS INTEGRALES AGUILERA MOYANO LTD"/>
    <x v="3"/>
    <s v="Antillanca"/>
    <s v="Nataly"/>
    <n v="412239"/>
    <n v="0"/>
    <n v="1"/>
    <s v="Cheque"/>
    <s v="En Caja Operacional"/>
    <n v="3816190"/>
    <d v="2026-01-05T00:00:00"/>
    <n v="137413"/>
    <n v="115473.10924369749"/>
  </r>
  <r>
    <s v="Antillanca"/>
    <n v="221453"/>
    <d v="2025-12-31T13:28:17"/>
    <s v="78983390-7"/>
    <s v="SERVICIOS INTEGRALES AGUILERA MOYANO LTD"/>
    <x v="3"/>
    <s v="Antillanca"/>
    <s v="Nataly"/>
    <n v="412239"/>
    <n v="0"/>
    <n v="1"/>
    <s v="Cheque"/>
    <s v="En Caja Operacional"/>
    <n v="3816191"/>
    <d v="2026-01-18T00:00:00"/>
    <n v="137413"/>
    <n v="115473.10924369749"/>
  </r>
  <r>
    <s v="Antillanca"/>
    <n v="221453"/>
    <d v="2025-12-31T13:28:17"/>
    <s v="78983390-7"/>
    <s v="SERVICIOS INTEGRALES AGUILERA MOYANO LTD"/>
    <x v="3"/>
    <s v="Antillanca"/>
    <s v="Nataly"/>
    <n v="412239"/>
    <n v="0"/>
    <n v="1"/>
    <s v="Cheque"/>
    <s v="En Caja Operacional"/>
    <n v="3816192"/>
    <d v="2026-01-31T00:00:00"/>
    <n v="137413"/>
    <n v="115473.10924369749"/>
  </r>
  <r>
    <s v="Antillanca"/>
    <n v="221452"/>
    <d v="2025-12-31T13:23:11"/>
    <s v="7108230-K"/>
    <s v="ELIAS FUENTES"/>
    <x v="3"/>
    <s v="Antillanca"/>
    <s v="Nataly"/>
    <n v="688280"/>
    <n v="0"/>
    <n v="0"/>
    <s v="Cheque"/>
    <s v="En Caja Operacional"/>
    <n v="4929074"/>
    <d v="2026-01-15T00:00:00"/>
    <n v="230000"/>
    <n v="193277.31092436975"/>
  </r>
  <r>
    <s v="Antillanca"/>
    <n v="221452"/>
    <d v="2025-12-31T13:23:11"/>
    <s v="7108230-K"/>
    <s v="ELIAS FUENTES"/>
    <x v="3"/>
    <s v="Antillanca"/>
    <s v="Nataly"/>
    <n v="688280"/>
    <n v="0"/>
    <n v="0"/>
    <s v="Cheque"/>
    <s v="En Caja Operacional"/>
    <n v="4929075"/>
    <d v="2026-01-30T00:00:00"/>
    <n v="228280"/>
    <n v="191831.93277310926"/>
  </r>
  <r>
    <s v="Antillanca"/>
    <n v="221452"/>
    <d v="2025-12-31T13:23:11"/>
    <s v="7108230-K"/>
    <s v="ELIAS FUENTES"/>
    <x v="3"/>
    <s v="Antillanca"/>
    <s v="Nataly"/>
    <n v="688280"/>
    <n v="0"/>
    <n v="0"/>
    <s v="Dep√≥sito"/>
    <s v="En Caja Operacional"/>
    <n v="3547"/>
    <m/>
    <n v="230000"/>
    <n v="193277.31092436975"/>
  </r>
  <r>
    <s v="Linares"/>
    <n v="221451"/>
    <d v="2025-12-31T13:22:48"/>
    <s v="66666666-6"/>
    <s v="Cliente LINARES Generico"/>
    <x v="1"/>
    <s v="Linares"/>
    <s v="Eduardo"/>
    <n v="33238"/>
    <n v="0"/>
    <n v="0"/>
    <s v="D√©bito"/>
    <s v="En Caja Operacional"/>
    <n v="210197"/>
    <m/>
    <n v="33238"/>
    <n v="27931.092436974792"/>
  </r>
  <r>
    <s v="Geronimo Mendez"/>
    <n v="221450"/>
    <d v="2025-12-31T13:14:32"/>
    <s v="78560030-4"/>
    <s v="ZEPEDA Y VECCHIOLA Y COMPANIA LTDA"/>
    <x v="4"/>
    <s v="Contraloria"/>
    <s v="Selene"/>
    <n v="123406"/>
    <n v="0"/>
    <n v="0"/>
    <s v="Transferencia"/>
    <s v="En Caja Operacional"/>
    <n v="276534"/>
    <m/>
    <n v="123406"/>
    <n v="103702.52100840336"/>
  </r>
  <r>
    <s v="Geronimo Mendez"/>
    <n v="221449"/>
    <d v="2025-12-31T13:13:56"/>
    <s v="76727109-3"/>
    <s v="SOC. DE REPUESTOS Y ACCESORIOS RASSE LIMITADA"/>
    <x v="4"/>
    <s v="Contraloria"/>
    <s v="Selene"/>
    <n v="295056"/>
    <n v="0"/>
    <n v="0"/>
    <s v="Transferencia"/>
    <s v="En Caja Operacional"/>
    <n v="2765533"/>
    <m/>
    <n v="295056"/>
    <n v="247946.21848739497"/>
  </r>
  <r>
    <s v="Geronimo Mendez"/>
    <n v="221448"/>
    <d v="2025-12-31T13:12:22"/>
    <s v="77948719-9"/>
    <s v="DA FERRETERIA SPA"/>
    <x v="4"/>
    <s v="Contraloria"/>
    <s v="Selene"/>
    <n v="590799"/>
    <n v="0"/>
    <n v="0"/>
    <s v="Transferencia"/>
    <s v="En Caja Operacional"/>
    <n v="276532"/>
    <m/>
    <n v="590799"/>
    <n v="496469.74789915967"/>
  </r>
  <r>
    <s v="Geronimo Mendez"/>
    <n v="221447"/>
    <d v="2025-12-31T13:10:53"/>
    <s v="76954022-9"/>
    <s v="REPUESTOS OBKES SPA"/>
    <x v="4"/>
    <s v="Contraloria"/>
    <s v="Selene"/>
    <n v="1825942"/>
    <n v="0"/>
    <n v="0"/>
    <s v="Transferencia"/>
    <s v="En Caja Operacional"/>
    <n v="276531"/>
    <m/>
    <n v="1825942"/>
    <n v="1534405.0420168068"/>
  </r>
  <r>
    <s v="Geronimo Mendez"/>
    <n v="221446"/>
    <d v="2025-12-31T13:09:36"/>
    <s v="77775861-6"/>
    <s v="TRANSPORTES CRD SPA"/>
    <x v="2"/>
    <s v="Contraloria"/>
    <s v="Selene"/>
    <n v="1878316"/>
    <n v="0"/>
    <n v="0"/>
    <s v="Transferencia"/>
    <s v="En Caja Operacional"/>
    <n v="276579"/>
    <m/>
    <n v="939158"/>
    <n v="789208.40336134459"/>
  </r>
  <r>
    <s v="Geronimo Mendez"/>
    <n v="221446"/>
    <d v="2025-12-31T13:09:36"/>
    <s v="77775861-6"/>
    <s v="TRANSPORTES CRD SPA"/>
    <x v="2"/>
    <s v="Contraloria"/>
    <s v="Selene"/>
    <n v="1878316"/>
    <n v="0"/>
    <n v="0"/>
    <s v="Transferencia"/>
    <s v="En Caja Operacional"/>
    <n v="276579"/>
    <m/>
    <n v="939158"/>
    <n v="789208.40336134459"/>
  </r>
  <r>
    <s v="Geronimo Mendez"/>
    <n v="221445"/>
    <d v="2025-12-31T12:59:10"/>
    <s v="77528325-4"/>
    <s v="CAMPUSANO SPA"/>
    <x v="2"/>
    <s v="Contraloria"/>
    <s v="Selene"/>
    <n v="2573712"/>
    <n v="0"/>
    <n v="19033"/>
    <s v="Transferencia"/>
    <s v="En Caja Operacional"/>
    <n v="276580"/>
    <m/>
    <n v="263193"/>
    <n v="221170.58823529413"/>
  </r>
  <r>
    <s v="Geronimo Mendez"/>
    <n v="221445"/>
    <d v="2025-12-31T12:59:10"/>
    <s v="77528325-4"/>
    <s v="CAMPUSANO SPA"/>
    <x v="2"/>
    <s v="Contraloria"/>
    <s v="Selene"/>
    <n v="2573712"/>
    <n v="0"/>
    <n v="19033"/>
    <s v="Transferencia"/>
    <s v="En Caja Operacional"/>
    <n v="276580"/>
    <m/>
    <n v="2310519"/>
    <n v="1941612.6050420168"/>
  </r>
  <r>
    <s v="Geronimo Mendez"/>
    <n v="221444"/>
    <d v="2025-12-31T12:56:30"/>
    <s v="76438687-6"/>
    <s v="KAMOCAR SERVICIOS AUTOMOTRICES SPA"/>
    <x v="2"/>
    <s v="Contraloria"/>
    <s v="Selene"/>
    <n v="742779"/>
    <n v="0"/>
    <n v="0"/>
    <s v="Transferencia"/>
    <s v="En Caja Operacional"/>
    <n v="276581"/>
    <m/>
    <n v="742779"/>
    <n v="624184.03361344535"/>
  </r>
  <r>
    <s v="Linares"/>
    <n v="221443"/>
    <d v="2025-12-31T12:56:02"/>
    <s v="9262987-2"/>
    <s v="EDUARDO ENRIQUE PONCE"/>
    <x v="1"/>
    <s v="Linares"/>
    <s v="Eduardo"/>
    <n v="63629"/>
    <n v="0"/>
    <n v="0"/>
    <s v="Efectivo"/>
    <s v="En Caja Operacional"/>
    <m/>
    <m/>
    <n v="14444"/>
    <n v="12137.81512605042"/>
  </r>
  <r>
    <s v="Linares"/>
    <n v="221443"/>
    <d v="2025-12-31T12:56:02"/>
    <s v="9262987-2"/>
    <s v="EDUARDO ENRIQUE PONCE"/>
    <x v="1"/>
    <s v="Linares"/>
    <s v="Eduardo"/>
    <n v="63629"/>
    <n v="0"/>
    <n v="0"/>
    <s v="D√©bito"/>
    <s v="En Caja Operacional"/>
    <n v="497872"/>
    <m/>
    <n v="49185"/>
    <n v="41331.932773109249"/>
  </r>
  <r>
    <s v="Antillanca"/>
    <n v="221442"/>
    <d v="2025-12-31T12:55:13"/>
    <s v="76475976-1"/>
    <s v="SERVIN INVERSIONES Y SERVICIOS INDUSTRIA"/>
    <x v="3"/>
    <s v="Antillanca"/>
    <s v="Nataly"/>
    <n v="204204"/>
    <n v="0"/>
    <n v="0"/>
    <s v="Cheque"/>
    <s v="En Caja Operacional"/>
    <n v="2122509"/>
    <d v="2026-01-10T00:00:00"/>
    <n v="68068"/>
    <n v="57200"/>
  </r>
  <r>
    <s v="Antillanca"/>
    <n v="221442"/>
    <d v="2025-12-31T12:55:13"/>
    <s v="76475976-1"/>
    <s v="SERVIN INVERSIONES Y SERVICIOS INDUSTRIA"/>
    <x v="3"/>
    <s v="Antillanca"/>
    <s v="Nataly"/>
    <n v="204204"/>
    <n v="0"/>
    <n v="0"/>
    <s v="Cheque"/>
    <s v="En Caja Operacional"/>
    <n v="2122511"/>
    <d v="2026-02-10T00:00:00"/>
    <n v="68068"/>
    <n v="57200"/>
  </r>
  <r>
    <s v="Antillanca"/>
    <n v="221442"/>
    <d v="2025-12-31T12:55:13"/>
    <s v="76475976-1"/>
    <s v="SERVIN INVERSIONES Y SERVICIOS INDUSTRIA"/>
    <x v="3"/>
    <s v="Antillanca"/>
    <s v="Nataly"/>
    <n v="204204"/>
    <n v="0"/>
    <n v="0"/>
    <s v="Dep√≥sito"/>
    <s v="En Caja Operacional"/>
    <n v="3546"/>
    <m/>
    <n v="68068"/>
    <n v="57200"/>
  </r>
  <r>
    <s v="Geronimo Mendez"/>
    <n v="221441"/>
    <d v="2025-12-31T12:55:10"/>
    <s v="77885243-8"/>
    <s v="TRANSPORTE Y SERVICIOS ADAOS GUZMAN LIMITADA"/>
    <x v="2"/>
    <s v="Contraloria"/>
    <s v="Selene"/>
    <n v="148352"/>
    <n v="0"/>
    <n v="0"/>
    <s v="Transferencia"/>
    <s v="En Caja Operacional"/>
    <n v="276582"/>
    <m/>
    <n v="148352"/>
    <n v="124665.5462184874"/>
  </r>
  <r>
    <s v="Geronimo Mendez"/>
    <n v="221440"/>
    <d v="2025-12-31T12:54:21"/>
    <s v="10881306-7"/>
    <s v="ONOFRE SEGUNDO VELIZ"/>
    <x v="2"/>
    <s v="Contraloria"/>
    <s v="Selene"/>
    <n v="790917"/>
    <n v="0"/>
    <n v="0"/>
    <s v="Efectivo"/>
    <s v="En Caja Operacional"/>
    <m/>
    <m/>
    <n v="790917"/>
    <n v="664636.13445378153"/>
  </r>
  <r>
    <s v="Geronimo Mendez"/>
    <n v="221439"/>
    <d v="2025-12-31T12:53:38"/>
    <s v="13975868-4"/>
    <s v="YENNY MARISEL OLIVARES"/>
    <x v="0"/>
    <s v="Contraloria"/>
    <s v="Selene"/>
    <n v="537433"/>
    <n v="0"/>
    <n v="0"/>
    <s v="Transferencia"/>
    <s v="En Caja Operacional"/>
    <n v="276912"/>
    <m/>
    <n v="300000"/>
    <n v="252100.84033613445"/>
  </r>
  <r>
    <s v="Geronimo Mendez"/>
    <n v="221439"/>
    <d v="2025-12-31T12:53:38"/>
    <s v="13975868-4"/>
    <s v="YENNY MARISEL OLIVARES"/>
    <x v="0"/>
    <s v="Contraloria"/>
    <s v="Selene"/>
    <n v="537433"/>
    <n v="0"/>
    <n v="0"/>
    <s v="Transferencia"/>
    <s v="En Caja Operacional"/>
    <n v="276912"/>
    <m/>
    <n v="237433"/>
    <n v="199523.52941176473"/>
  </r>
  <r>
    <s v="Geronimo Mendez"/>
    <n v="221438"/>
    <d v="2025-12-31T12:52:40"/>
    <s v="13875048-5"/>
    <s v="JORGE CASANOVA"/>
    <x v="4"/>
    <s v="Contraloria"/>
    <s v="Selene"/>
    <n v="136391"/>
    <n v="0"/>
    <n v="0"/>
    <s v="Transferencia"/>
    <s v="En Caja Operacional"/>
    <n v="276530"/>
    <m/>
    <n v="136391"/>
    <n v="114614.28571428572"/>
  </r>
  <r>
    <s v="Rojas Magallanes"/>
    <n v="221437"/>
    <d v="2025-12-31T12:47:12"/>
    <s v="77756827-2"/>
    <s v="INVERSIONES RCV SPA"/>
    <x v="5"/>
    <s v="Rojas Magallanes"/>
    <s v="Marisol"/>
    <n v="229813"/>
    <n v="0"/>
    <n v="0"/>
    <s v="Efectivo"/>
    <s v="En Caja Operacional"/>
    <m/>
    <m/>
    <n v="19813"/>
    <n v="16649.579831932773"/>
  </r>
  <r>
    <s v="Rojas Magallanes"/>
    <n v="221437"/>
    <d v="2025-12-31T12:47:12"/>
    <s v="77756827-2"/>
    <s v="INVERSIONES RCV SPA"/>
    <x v="5"/>
    <s v="Rojas Magallanes"/>
    <s v="Marisol"/>
    <n v="229813"/>
    <n v="0"/>
    <n v="0"/>
    <s v="D√©bito"/>
    <s v="En Caja Operacional"/>
    <n v="442542"/>
    <m/>
    <n v="210000"/>
    <n v="176470.58823529413"/>
  </r>
  <r>
    <s v="Ovalle"/>
    <n v="221436"/>
    <d v="2025-12-31T12:40:55"/>
    <s v="11939093-1"/>
    <s v="JOSE LUIS COFRE"/>
    <x v="6"/>
    <s v="Ovalle"/>
    <s v="Emilio"/>
    <n v="99753"/>
    <n v="0"/>
    <n v="0"/>
    <s v="Efectivo"/>
    <s v="En Caja Operacional"/>
    <m/>
    <m/>
    <n v="99753"/>
    <n v="83826.050420168074"/>
  </r>
  <r>
    <s v="Geronimo Mendez"/>
    <n v="221435"/>
    <d v="2025-12-31T12:18:19"/>
    <s v="81515100-3"/>
    <s v="SELIM DABED Y CIA. LTDA."/>
    <x v="0"/>
    <s v="Contraloria"/>
    <s v="Selene"/>
    <n v="121167"/>
    <n v="0"/>
    <n v="0"/>
    <s v="Transferencia"/>
    <s v="En Caja Operacional"/>
    <n v="276907"/>
    <m/>
    <n v="121167"/>
    <n v="101821.00840336135"/>
  </r>
  <r>
    <s v="Antillanca"/>
    <n v="221434"/>
    <d v="2025-12-31T12:17:54"/>
    <s v="76197694-K"/>
    <s v="COM. DE REPUESTOS AUT. Y AFINES SAMUEL A"/>
    <x v="3"/>
    <s v="Antillanca"/>
    <s v="Nataly"/>
    <n v="843640"/>
    <n v="0"/>
    <n v="0"/>
    <s v="Cheque"/>
    <s v="En Caja Operacional"/>
    <n v="2171018"/>
    <d v="2026-01-30T00:00:00"/>
    <n v="200000"/>
    <n v="168067.22689075631"/>
  </r>
  <r>
    <s v="Antillanca"/>
    <n v="221434"/>
    <d v="2025-12-31T12:17:54"/>
    <s v="76197694-K"/>
    <s v="COM. DE REPUESTOS AUT. Y AFINES SAMUEL A"/>
    <x v="3"/>
    <s v="Antillanca"/>
    <s v="Nataly"/>
    <n v="843640"/>
    <n v="0"/>
    <n v="0"/>
    <s v="Cheque"/>
    <s v="En Caja Operacional"/>
    <n v="2171017"/>
    <d v="2026-02-17T00:00:00"/>
    <n v="200000"/>
    <n v="168067.22689075631"/>
  </r>
  <r>
    <s v="Antillanca"/>
    <n v="221434"/>
    <d v="2025-12-31T12:17:54"/>
    <s v="76197694-K"/>
    <s v="COM. DE REPUESTOS AUT. Y AFINES SAMUEL A"/>
    <x v="3"/>
    <s v="Antillanca"/>
    <s v="Nataly"/>
    <n v="843640"/>
    <n v="0"/>
    <n v="0"/>
    <s v="Cheque"/>
    <s v="En Caja Operacional"/>
    <n v="2171019"/>
    <d v="2026-03-17T00:00:00"/>
    <n v="200000"/>
    <n v="168067.22689075631"/>
  </r>
  <r>
    <s v="Antillanca"/>
    <n v="221434"/>
    <d v="2025-12-31T12:17:54"/>
    <s v="76197694-K"/>
    <s v="COM. DE REPUESTOS AUT. Y AFINES SAMUEL A"/>
    <x v="3"/>
    <s v="Antillanca"/>
    <s v="Nataly"/>
    <n v="843640"/>
    <n v="0"/>
    <n v="0"/>
    <s v="Cheque"/>
    <s v="En Caja Operacional"/>
    <n v="2171020"/>
    <d v="2026-03-30T00:00:00"/>
    <n v="200000"/>
    <n v="168067.22689075631"/>
  </r>
  <r>
    <s v="Antillanca"/>
    <n v="221434"/>
    <d v="2025-12-31T12:17:54"/>
    <s v="76197694-K"/>
    <s v="COM. DE REPUESTOS AUT. Y AFINES SAMUEL A"/>
    <x v="3"/>
    <s v="Antillanca"/>
    <s v="Nataly"/>
    <n v="843640"/>
    <n v="0"/>
    <n v="0"/>
    <s v="Dep√≥sito"/>
    <s v="En Caja Operacional"/>
    <n v="3551"/>
    <m/>
    <n v="43640"/>
    <n v="36672.268907563026"/>
  </r>
  <r>
    <s v="Geronimo Mendez"/>
    <n v="221433"/>
    <d v="2025-12-31T12:17:04"/>
    <s v="76329958-9"/>
    <s v="SOCIEDAD CRUZ GRANDE SPA"/>
    <x v="0"/>
    <s v="Contraloria"/>
    <s v="Selene"/>
    <n v="461230"/>
    <n v="0"/>
    <n v="0"/>
    <s v="Transferencia"/>
    <s v="En Caja Operacional"/>
    <n v="276908"/>
    <m/>
    <n v="461230"/>
    <n v="387588.23529411765"/>
  </r>
  <r>
    <s v="Geronimo Mendez"/>
    <n v="221432"/>
    <d v="2025-12-31T12:16:15"/>
    <s v="19888725-0"/>
    <s v="VALENTINA DALIA RAMIREZ"/>
    <x v="0"/>
    <s v="Contraloria"/>
    <s v="Selene"/>
    <n v="308691"/>
    <n v="0"/>
    <n v="0"/>
    <s v="Transferencia"/>
    <s v="En Caja Operacional"/>
    <n v="276909"/>
    <m/>
    <n v="115183"/>
    <n v="96792.436974789918"/>
  </r>
  <r>
    <s v="Geronimo Mendez"/>
    <n v="221432"/>
    <d v="2025-12-31T12:16:15"/>
    <s v="19888725-0"/>
    <s v="VALENTINA DALIA RAMIREZ"/>
    <x v="0"/>
    <s v="Contraloria"/>
    <s v="Selene"/>
    <n v="308691"/>
    <n v="0"/>
    <n v="0"/>
    <s v="Transferencia"/>
    <s v="En Caja Operacional"/>
    <n v="276909"/>
    <m/>
    <n v="193508"/>
    <n v="162611.76470588235"/>
  </r>
  <r>
    <s v="Geronimo Mendez"/>
    <n v="221431"/>
    <d v="2025-12-31T12:14:15"/>
    <s v="7613432-4"/>
    <s v="CARLOS VARGAS"/>
    <x v="0"/>
    <s v="Contraloria"/>
    <s v="Selene"/>
    <n v="210607"/>
    <n v="0"/>
    <n v="0"/>
    <s v="Transferencia"/>
    <s v="En Caja Operacional"/>
    <n v="276910"/>
    <m/>
    <n v="210607"/>
    <n v="176980.67226890757"/>
  </r>
  <r>
    <s v="Geronimo Mendez"/>
    <n v="221431"/>
    <d v="2025-12-31T12:14:15"/>
    <s v="7613432-4"/>
    <s v="CARLOS VARGAS"/>
    <x v="0"/>
    <s v="Contraloria"/>
    <s v="Selene"/>
    <n v="210607"/>
    <n v="0"/>
    <n v="0"/>
    <s v="Transferencia"/>
    <s v="En Caja Operacional"/>
    <n v="276910"/>
    <m/>
    <n v="0"/>
    <n v="0"/>
  </r>
  <r>
    <s v="Geronimo Mendez"/>
    <n v="221430"/>
    <d v="2025-12-31T12:12:49"/>
    <s v="76322000-1"/>
    <s v="RICHARD ALEX BAEZA VASQUEZ SERV DE CONST Y MONT O CIV E IND EIRL"/>
    <x v="0"/>
    <s v="Contraloria"/>
    <s v="Selene"/>
    <n v="230615"/>
    <n v="0"/>
    <n v="0"/>
    <s v="Transferencia"/>
    <s v="En Caja Operacional"/>
    <n v="276911"/>
    <m/>
    <n v="230615"/>
    <n v="193794.11764705883"/>
  </r>
  <r>
    <s v="Antillanca"/>
    <n v="221429"/>
    <d v="2025-12-31T12:12:09"/>
    <s v="6390872-K"/>
    <s v="LUIS EDUARDO GUAJARDO"/>
    <x v="3"/>
    <s v="Antillanca"/>
    <s v="Nataly"/>
    <n v="553172"/>
    <n v="0"/>
    <n v="0"/>
    <s v="Cheque"/>
    <s v="En Caja Operacional"/>
    <n v="3477117"/>
    <d v="2025-02-13T00:00:00"/>
    <n v="184000"/>
    <n v="154621.84873949579"/>
  </r>
  <r>
    <s v="Antillanca"/>
    <n v="221429"/>
    <d v="2025-12-31T12:12:09"/>
    <s v="6390872-K"/>
    <s v="LUIS EDUARDO GUAJARDO"/>
    <x v="3"/>
    <s v="Antillanca"/>
    <s v="Nataly"/>
    <n v="553172"/>
    <n v="0"/>
    <n v="0"/>
    <s v="Cheque"/>
    <s v="En Caja Operacional"/>
    <n v="3477118"/>
    <d v="2026-02-18T00:00:00"/>
    <n v="184000"/>
    <n v="154621.84873949579"/>
  </r>
  <r>
    <s v="Antillanca"/>
    <n v="221429"/>
    <d v="2025-12-31T12:12:09"/>
    <s v="6390872-K"/>
    <s v="LUIS EDUARDO GUAJARDO"/>
    <x v="3"/>
    <s v="Antillanca"/>
    <s v="Nataly"/>
    <n v="553172"/>
    <n v="0"/>
    <n v="0"/>
    <s v="Cheque"/>
    <s v="En Caja Operacional"/>
    <n v="3477119"/>
    <d v="2026-03-17T00:00:00"/>
    <n v="185172"/>
    <n v="155606.72268907563"/>
  </r>
  <r>
    <s v="Geronimo Mendez"/>
    <n v="221428"/>
    <d v="2025-12-31T12:11:37"/>
    <s v="10463915-1"/>
    <s v="BARTOLOME BRUNA"/>
    <x v="4"/>
    <s v="Contraloria"/>
    <s v="Selene"/>
    <n v="463336"/>
    <n v="0"/>
    <n v="0"/>
    <s v="Transferencia"/>
    <s v="En Caja Operacional"/>
    <n v="276529"/>
    <m/>
    <n v="463336"/>
    <n v="389357.98319327732"/>
  </r>
  <r>
    <s v="Geronimo Mendez"/>
    <n v="221427"/>
    <d v="2025-12-31T12:10:47"/>
    <s v="14099067-1"/>
    <s v="JOSE CARVAJAL"/>
    <x v="4"/>
    <s v="Contraloria"/>
    <s v="Selene"/>
    <n v="347781"/>
    <n v="0"/>
    <n v="0"/>
    <s v="Transferencia"/>
    <s v="En Caja Operacional"/>
    <n v="276526"/>
    <m/>
    <n v="347781"/>
    <n v="292252.9411764706"/>
  </r>
  <r>
    <s v="Geronimo Mendez"/>
    <n v="221426"/>
    <d v="2025-12-31T12:10:02"/>
    <s v="77941898-7"/>
    <s v="COMERCIAL E INVERSIONES NUEVA AURORA SPA"/>
    <x v="4"/>
    <s v="Contraloria"/>
    <s v="Selene"/>
    <n v="1404877"/>
    <n v="0"/>
    <n v="0"/>
    <s v="Transferencia"/>
    <s v="En Caja Operacional"/>
    <n v="276525"/>
    <m/>
    <n v="1404877"/>
    <n v="1180568.9075630254"/>
  </r>
  <r>
    <s v="Geronimo Mendez"/>
    <n v="221425"/>
    <d v="2025-12-31T12:09:11"/>
    <s v="76192591-1"/>
    <s v="JUDITH GODOY GARAY COMERCIALIZACION Y ELABORACION DE PRODUCTOS QUIMICOS"/>
    <x v="4"/>
    <s v="Contraloria"/>
    <s v="Selene"/>
    <n v="243160"/>
    <n v="0"/>
    <n v="0"/>
    <s v="Transferencia"/>
    <s v="En Caja Operacional"/>
    <n v="276524"/>
    <m/>
    <n v="243160"/>
    <n v="204336.13445378153"/>
  </r>
  <r>
    <s v="Antillanca"/>
    <n v="221424"/>
    <d v="2025-12-31T12:05:10"/>
    <s v="6390872-K"/>
    <s v="LUIS EDUARDO GUAJARDO"/>
    <x v="3"/>
    <s v="Antillanca"/>
    <s v="Nataly"/>
    <n v="478752"/>
    <n v="0"/>
    <n v="0"/>
    <s v="Cheque"/>
    <s v="En Caja Operacional"/>
    <n v="3477076"/>
    <d v="2026-02-24T00:00:00"/>
    <n v="159500"/>
    <n v="134033.61344537817"/>
  </r>
  <r>
    <s v="Antillanca"/>
    <n v="221424"/>
    <d v="2025-12-31T12:05:10"/>
    <s v="6390872-K"/>
    <s v="LUIS EDUARDO GUAJARDO"/>
    <x v="3"/>
    <s v="Antillanca"/>
    <s v="Nataly"/>
    <n v="478752"/>
    <n v="0"/>
    <n v="0"/>
    <s v="Cheque"/>
    <s v="En Caja Operacional"/>
    <n v="3477077"/>
    <d v="2026-03-07T00:00:00"/>
    <n v="159500"/>
    <n v="134033.61344537817"/>
  </r>
  <r>
    <s v="Antillanca"/>
    <n v="221424"/>
    <d v="2025-12-31T12:05:10"/>
    <s v="6390872-K"/>
    <s v="LUIS EDUARDO GUAJARDO"/>
    <x v="3"/>
    <s v="Antillanca"/>
    <s v="Nataly"/>
    <n v="478752"/>
    <n v="0"/>
    <n v="0"/>
    <s v="Cheque"/>
    <s v="En Caja Operacional"/>
    <n v="3477078"/>
    <d v="2026-04-03T00:00:00"/>
    <n v="159752"/>
    <n v="134245.37815126052"/>
  </r>
  <r>
    <s v="Antillanca"/>
    <n v="221423"/>
    <d v="2025-12-31T12:00:33"/>
    <s v="6390872-K"/>
    <s v="LUIS EDUARDO GUAJARDO"/>
    <x v="3"/>
    <s v="Antillanca"/>
    <s v="Nataly"/>
    <n v="285596"/>
    <n v="0"/>
    <n v="0"/>
    <s v="Cheque"/>
    <s v="En Caja Operacional"/>
    <n v="3477121"/>
    <d v="2026-03-03T00:00:00"/>
    <n v="143596"/>
    <n v="120668.90756302522"/>
  </r>
  <r>
    <s v="Antillanca"/>
    <n v="221423"/>
    <d v="2025-12-31T12:00:33"/>
    <s v="6390872-K"/>
    <s v="LUIS EDUARDO GUAJARDO"/>
    <x v="3"/>
    <s v="Antillanca"/>
    <s v="Nataly"/>
    <n v="285596"/>
    <n v="0"/>
    <n v="0"/>
    <s v="Cheque"/>
    <s v="En Caja Operacional"/>
    <n v="3477120"/>
    <d v="2026-02-11T00:00:00"/>
    <n v="142000"/>
    <n v="119327.73109243698"/>
  </r>
  <r>
    <s v="Antillanca"/>
    <n v="221422"/>
    <d v="2025-12-31T11:57:06"/>
    <s v="78258290-9"/>
    <s v="LAGOS Y HURTADO LTDA."/>
    <x v="3"/>
    <s v="Antillanca"/>
    <s v="Nataly"/>
    <n v="518181"/>
    <n v="0"/>
    <n v="0"/>
    <s v="Cheque"/>
    <s v="En Caja Operacional"/>
    <n v="5356916"/>
    <d v="2025-12-31T00:00:00"/>
    <n v="174181"/>
    <n v="146370.58823529413"/>
  </r>
  <r>
    <s v="Antillanca"/>
    <n v="221422"/>
    <d v="2025-12-31T11:57:06"/>
    <s v="78258290-9"/>
    <s v="LAGOS Y HURTADO LTDA."/>
    <x v="3"/>
    <s v="Antillanca"/>
    <s v="Nataly"/>
    <n v="518181"/>
    <n v="0"/>
    <n v="0"/>
    <s v="Dep√≥sito"/>
    <s v="En Caja Operacional"/>
    <n v="3549"/>
    <m/>
    <n v="172000"/>
    <n v="144537.81512605044"/>
  </r>
  <r>
    <s v="Antillanca"/>
    <n v="221422"/>
    <d v="2025-12-31T11:57:06"/>
    <s v="78258290-9"/>
    <s v="LAGOS Y HURTADO LTDA."/>
    <x v="3"/>
    <s v="Antillanca"/>
    <s v="Nataly"/>
    <n v="518181"/>
    <n v="0"/>
    <n v="0"/>
    <s v="Dep√≥sito"/>
    <s v="En Caja Operacional"/>
    <n v="3550"/>
    <m/>
    <n v="172000"/>
    <n v="144537.81512605044"/>
  </r>
  <r>
    <s v="Geronimo Mendez"/>
    <n v="221421"/>
    <d v="2025-12-31T11:53:52"/>
    <s v="76531175-6"/>
    <s v="TRANSPORTES MU√ëOZ SPA"/>
    <x v="2"/>
    <s v="Contraloria"/>
    <s v="Selene"/>
    <n v="2181912"/>
    <n v="0"/>
    <n v="0"/>
    <s v="Cheque"/>
    <s v="En Caja Operacional"/>
    <n v="1354"/>
    <d v="2026-01-30T00:00:00"/>
    <n v="700000"/>
    <n v="588235.29411764711"/>
  </r>
  <r>
    <s v="Geronimo Mendez"/>
    <n v="221421"/>
    <d v="2025-12-31T11:53:52"/>
    <s v="76531175-6"/>
    <s v="TRANSPORTES MU√ëOZ SPA"/>
    <x v="2"/>
    <s v="Contraloria"/>
    <s v="Selene"/>
    <n v="2181912"/>
    <n v="0"/>
    <n v="0"/>
    <s v="Cheque"/>
    <s v="En Caja Operacional"/>
    <n v="1355"/>
    <d v="2026-02-28T00:00:00"/>
    <n v="700000"/>
    <n v="588235.29411764711"/>
  </r>
  <r>
    <s v="Geronimo Mendez"/>
    <n v="221421"/>
    <d v="2025-12-31T11:53:52"/>
    <s v="76531175-6"/>
    <s v="TRANSPORTES MU√ëOZ SPA"/>
    <x v="2"/>
    <s v="Contraloria"/>
    <s v="Selene"/>
    <n v="2181912"/>
    <n v="0"/>
    <n v="0"/>
    <s v="Cheque"/>
    <s v="En Caja Operacional"/>
    <n v="1356"/>
    <d v="2026-03-30T00:00:00"/>
    <n v="781912"/>
    <n v="657068.90756302525"/>
  </r>
  <r>
    <s v="Geronimo Mendez"/>
    <n v="221420"/>
    <d v="2025-12-31T11:50:33"/>
    <s v="77202124-0"/>
    <s v="SOCIEDAD COMERCIAL Y TRANSPORTES BENJAMAR SPA"/>
    <x v="2"/>
    <s v="Contraloria"/>
    <s v="Selene"/>
    <n v="2673997"/>
    <n v="0"/>
    <n v="0"/>
    <s v="Cheque"/>
    <s v="En Caja Operacional"/>
    <n v="8516067"/>
    <d v="2026-01-30T00:00:00"/>
    <n v="800000"/>
    <n v="672268.90756302525"/>
  </r>
  <r>
    <s v="Geronimo Mendez"/>
    <n v="221420"/>
    <d v="2025-12-31T11:50:33"/>
    <s v="77202124-0"/>
    <s v="SOCIEDAD COMERCIAL Y TRANSPORTES BENJAMAR SPA"/>
    <x v="2"/>
    <s v="Contraloria"/>
    <s v="Selene"/>
    <n v="2673997"/>
    <n v="0"/>
    <n v="0"/>
    <s v="Cheque"/>
    <s v="En Caja Operacional"/>
    <n v="8516069"/>
    <d v="2026-02-28T00:00:00"/>
    <n v="800000"/>
    <n v="672268.90756302525"/>
  </r>
  <r>
    <s v="Geronimo Mendez"/>
    <n v="221420"/>
    <d v="2025-12-31T11:50:33"/>
    <s v="77202124-0"/>
    <s v="SOCIEDAD COMERCIAL Y TRANSPORTES BENJAMAR SPA"/>
    <x v="2"/>
    <s v="Contraloria"/>
    <s v="Selene"/>
    <n v="2673997"/>
    <n v="0"/>
    <n v="0"/>
    <s v="Cheque"/>
    <s v="En Caja Operacional"/>
    <n v="8516070"/>
    <d v="2026-03-30T00:00:00"/>
    <n v="1073997"/>
    <n v="902518.48739495804"/>
  </r>
  <r>
    <s v="Antillanca"/>
    <n v="221419"/>
    <d v="2025-12-31T11:48:24"/>
    <s v="77138593-1"/>
    <s v="DyA INVERSIONES SPA"/>
    <x v="7"/>
    <s v="Antillanca"/>
    <s v="Nataly"/>
    <n v="538416"/>
    <n v="0"/>
    <n v="0"/>
    <s v="Transferencia"/>
    <s v="En Caja Operacional"/>
    <n v="305"/>
    <m/>
    <n v="538416"/>
    <n v="452450.42016806727"/>
  </r>
  <r>
    <s v="Geronimo Mendez"/>
    <n v="221418"/>
    <d v="2025-12-31T11:47:28"/>
    <s v="77715243-2"/>
    <s v="LOGISTICA E INVERSIONES SAUCE NORTE SPA"/>
    <x v="2"/>
    <s v="Contraloria"/>
    <s v="Selene"/>
    <n v="1676054"/>
    <n v="0"/>
    <n v="0"/>
    <s v="Cheque"/>
    <s v="En Caja Operacional"/>
    <n v="3681444"/>
    <d v="2026-03-27T00:00:00"/>
    <n v="419000"/>
    <n v="352100.84033613448"/>
  </r>
  <r>
    <s v="Geronimo Mendez"/>
    <n v="221418"/>
    <d v="2025-12-31T11:47:28"/>
    <s v="77715243-2"/>
    <s v="LOGISTICA E INVERSIONES SAUCE NORTE SPA"/>
    <x v="2"/>
    <s v="Contraloria"/>
    <s v="Selene"/>
    <n v="1676054"/>
    <n v="0"/>
    <n v="0"/>
    <s v="Cheque"/>
    <s v="En Caja Operacional"/>
    <n v="3681445"/>
    <d v="2026-04-10T00:00:00"/>
    <n v="419000"/>
    <n v="352100.84033613448"/>
  </r>
  <r>
    <s v="Geronimo Mendez"/>
    <n v="221418"/>
    <d v="2025-12-31T11:47:28"/>
    <s v="77715243-2"/>
    <s v="LOGISTICA E INVERSIONES SAUCE NORTE SPA"/>
    <x v="2"/>
    <s v="Contraloria"/>
    <s v="Selene"/>
    <n v="1676054"/>
    <n v="0"/>
    <n v="0"/>
    <s v="Cheque"/>
    <s v="En Caja Operacional"/>
    <n v="3681446"/>
    <d v="2026-04-17T00:00:00"/>
    <n v="419000"/>
    <n v="352100.84033613448"/>
  </r>
  <r>
    <s v="Geronimo Mendez"/>
    <n v="221418"/>
    <d v="2025-12-31T11:47:28"/>
    <s v="77715243-2"/>
    <s v="LOGISTICA E INVERSIONES SAUCE NORTE SPA"/>
    <x v="2"/>
    <s v="Contraloria"/>
    <s v="Selene"/>
    <n v="1676054"/>
    <n v="0"/>
    <n v="0"/>
    <s v="Cheque"/>
    <s v="En Caja Operacional"/>
    <n v="3681447"/>
    <d v="2026-04-24T00:00:00"/>
    <n v="419054"/>
    <n v="352146.21848739497"/>
  </r>
  <r>
    <s v="Antillanca"/>
    <n v="221417"/>
    <d v="2025-12-31T11:46:42"/>
    <s v="6390872-K"/>
    <s v="LUIS EDUARDO GUAJARDO"/>
    <x v="3"/>
    <s v="Antillanca"/>
    <s v="Nataly"/>
    <n v="800649"/>
    <n v="0"/>
    <n v="0"/>
    <s v="Cheque"/>
    <s v="En Caja Operacional"/>
    <n v="3486804"/>
    <d v="2026-04-22T00:00:00"/>
    <n v="160649"/>
    <n v="134999.15966386555"/>
  </r>
  <r>
    <s v="Antillanca"/>
    <n v="221417"/>
    <d v="2025-12-31T11:46:42"/>
    <s v="6390872-K"/>
    <s v="LUIS EDUARDO GUAJARDO"/>
    <x v="3"/>
    <s v="Antillanca"/>
    <s v="Nataly"/>
    <n v="800649"/>
    <n v="0"/>
    <n v="0"/>
    <s v="Cheque"/>
    <s v="En Caja Operacional"/>
    <n v="3486803"/>
    <d v="2026-04-06T00:00:00"/>
    <n v="160000"/>
    <n v="134453.78151260506"/>
  </r>
  <r>
    <s v="Antillanca"/>
    <n v="221417"/>
    <d v="2025-12-31T11:46:42"/>
    <s v="6390872-K"/>
    <s v="LUIS EDUARDO GUAJARDO"/>
    <x v="3"/>
    <s v="Antillanca"/>
    <s v="Nataly"/>
    <n v="800649"/>
    <n v="0"/>
    <n v="0"/>
    <s v="Cheque"/>
    <s v="En Caja Operacional"/>
    <n v="3486802"/>
    <d v="2026-03-24T00:00:00"/>
    <n v="160000"/>
    <n v="134453.78151260506"/>
  </r>
  <r>
    <s v="Antillanca"/>
    <n v="221417"/>
    <d v="2025-12-31T11:46:42"/>
    <s v="6390872-K"/>
    <s v="LUIS EDUARDO GUAJARDO"/>
    <x v="3"/>
    <s v="Antillanca"/>
    <s v="Nataly"/>
    <n v="800649"/>
    <n v="0"/>
    <n v="0"/>
    <s v="Cheque"/>
    <s v="En Caja Operacional"/>
    <n v="3486801"/>
    <d v="2026-03-11T00:00:00"/>
    <n v="160000"/>
    <n v="134453.78151260506"/>
  </r>
  <r>
    <s v="Antillanca"/>
    <n v="221417"/>
    <d v="2025-12-31T11:46:42"/>
    <s v="6390872-K"/>
    <s v="LUIS EDUARDO GUAJARDO"/>
    <x v="3"/>
    <s v="Antillanca"/>
    <s v="Nataly"/>
    <n v="800649"/>
    <n v="0"/>
    <n v="0"/>
    <s v="Cheque"/>
    <s v="En Caja Operacional"/>
    <n v="3486800"/>
    <d v="2026-02-26T00:00:00"/>
    <n v="160000"/>
    <n v="134453.78151260506"/>
  </r>
  <r>
    <s v="Geronimo Mendez"/>
    <n v="221416"/>
    <d v="2025-12-31T11:45:05"/>
    <s v="6600820-7"/>
    <s v="WILSON NU√ëEZ"/>
    <x v="2"/>
    <s v="Contraloria"/>
    <s v="Selene"/>
    <n v="924211"/>
    <n v="0"/>
    <n v="0"/>
    <s v="Cheque"/>
    <s v="En Caja Operacional"/>
    <n v="1267772"/>
    <d v="2025-12-20T00:00:00"/>
    <n v="231052"/>
    <n v="194161.34453781514"/>
  </r>
  <r>
    <s v="Geronimo Mendez"/>
    <n v="221416"/>
    <d v="2025-12-31T11:45:05"/>
    <s v="6600820-7"/>
    <s v="WILSON NU√ëEZ"/>
    <x v="2"/>
    <s v="Contraloria"/>
    <s v="Selene"/>
    <n v="924211"/>
    <n v="0"/>
    <n v="0"/>
    <s v="Cheque"/>
    <s v="En Caja Operacional"/>
    <n v="1267773"/>
    <d v="2026-01-20T00:00:00"/>
    <n v="231053"/>
    <n v="194162.18487394959"/>
  </r>
  <r>
    <s v="Geronimo Mendez"/>
    <n v="221416"/>
    <d v="2025-12-31T11:45:05"/>
    <s v="6600820-7"/>
    <s v="WILSON NU√ëEZ"/>
    <x v="2"/>
    <s v="Contraloria"/>
    <s v="Selene"/>
    <n v="924211"/>
    <n v="0"/>
    <n v="0"/>
    <s v="Cheque"/>
    <s v="En Caja Operacional"/>
    <n v="1267774"/>
    <d v="2026-02-20T00:00:00"/>
    <n v="231053"/>
    <n v="194162.18487394959"/>
  </r>
  <r>
    <s v="Geronimo Mendez"/>
    <n v="221416"/>
    <d v="2025-12-31T11:45:05"/>
    <s v="6600820-7"/>
    <s v="WILSON NU√ëEZ"/>
    <x v="2"/>
    <s v="Contraloria"/>
    <s v="Selene"/>
    <n v="924211"/>
    <n v="0"/>
    <n v="0"/>
    <s v="Cheque"/>
    <s v="En Caja Operacional"/>
    <n v="1267775"/>
    <d v="2026-03-20T00:00:00"/>
    <n v="231053"/>
    <n v="194162.18487394959"/>
  </r>
  <r>
    <s v="Ovalle"/>
    <n v="221415"/>
    <d v="2025-12-31T11:38:54"/>
    <s v="12569531-0"/>
    <s v="EMILIO SANTOS"/>
    <x v="6"/>
    <s v="Ovalle"/>
    <s v="Emilio"/>
    <n v="415610"/>
    <n v="0"/>
    <n v="0"/>
    <s v="Efectivo"/>
    <s v="En Caja Operacional"/>
    <m/>
    <m/>
    <n v="265610"/>
    <n v="223201.68067226891"/>
  </r>
  <r>
    <s v="Ovalle"/>
    <n v="221415"/>
    <d v="2025-12-31T11:38:54"/>
    <s v="12569531-0"/>
    <s v="EMILIO SANTOS"/>
    <x v="6"/>
    <s v="Ovalle"/>
    <s v="Emilio"/>
    <n v="415610"/>
    <n v="0"/>
    <n v="0"/>
    <s v="D√©bito"/>
    <s v="En Caja Operacional"/>
    <n v="3881"/>
    <m/>
    <n v="150000"/>
    <n v="126050.42016806723"/>
  </r>
  <r>
    <s v="Geronimo Mendez"/>
    <n v="221414"/>
    <d v="2025-12-31T11:35:42"/>
    <s v="76131240-5"/>
    <s v="TRANSPORTES UGALDE Y COMPA√ëIA LIMITADA"/>
    <x v="0"/>
    <s v="Contraloria"/>
    <s v="Selene"/>
    <n v="181485"/>
    <n v="0"/>
    <n v="0"/>
    <s v="Cheque"/>
    <s v="En Caja Operacional"/>
    <n v="4790521"/>
    <d v="2026-01-30T00:00:00"/>
    <n v="181485"/>
    <n v="152508.40336134454"/>
  </r>
  <r>
    <s v="Geronimo Mendez"/>
    <n v="221413"/>
    <d v="2025-12-31T11:33:56"/>
    <s v="5806020-8"/>
    <s v="PATRICIO ALEJANDRO TAPIA"/>
    <x v="0"/>
    <s v="Contraloria"/>
    <s v="Selene"/>
    <n v="338436"/>
    <n v="0"/>
    <n v="0"/>
    <s v="Cheque"/>
    <s v="En Caja Operacional"/>
    <n v="6626935"/>
    <d v="2026-01-05T00:00:00"/>
    <n v="338436"/>
    <n v="284400"/>
  </r>
  <r>
    <s v="Antillanca"/>
    <n v="221412"/>
    <d v="2025-12-31T11:33:00"/>
    <s v="16743054-6"/>
    <s v="PABLO MAURICIO VERA"/>
    <x v="3"/>
    <s v="Antillanca"/>
    <s v="Nataly"/>
    <n v="1741459"/>
    <n v="0"/>
    <n v="0"/>
    <s v="Cheque"/>
    <s v="En Caja Operacional"/>
    <n v="9942110"/>
    <d v="2026-01-23T00:00:00"/>
    <n v="440000"/>
    <n v="369747.89915966388"/>
  </r>
  <r>
    <s v="Antillanca"/>
    <n v="221412"/>
    <d v="2025-12-31T11:33:00"/>
    <s v="16743054-6"/>
    <s v="PABLO MAURICIO VERA"/>
    <x v="3"/>
    <s v="Antillanca"/>
    <s v="Nataly"/>
    <n v="1741459"/>
    <n v="0"/>
    <n v="0"/>
    <s v="Cheque"/>
    <s v="En Caja Operacional"/>
    <n v="9942112"/>
    <d v="2026-03-23T00:00:00"/>
    <n v="421459"/>
    <n v="354167.22689075634"/>
  </r>
  <r>
    <s v="Antillanca"/>
    <n v="221412"/>
    <d v="2025-12-31T11:33:00"/>
    <s v="16743054-6"/>
    <s v="PABLO MAURICIO VERA"/>
    <x v="3"/>
    <s v="Antillanca"/>
    <s v="Nataly"/>
    <n v="1741459"/>
    <n v="0"/>
    <n v="0"/>
    <s v="Cheque"/>
    <s v="En Caja Operacional"/>
    <n v="9942111"/>
    <d v="2026-02-23T00:00:00"/>
    <n v="440000"/>
    <n v="369747.89915966388"/>
  </r>
  <r>
    <s v="Antillanca"/>
    <n v="221412"/>
    <d v="2025-12-31T11:33:00"/>
    <s v="16743054-6"/>
    <s v="PABLO MAURICIO VERA"/>
    <x v="3"/>
    <s v="Antillanca"/>
    <s v="Nataly"/>
    <n v="1741459"/>
    <n v="0"/>
    <n v="0"/>
    <s v="Dep√≥sito"/>
    <s v="En Caja Operacional"/>
    <n v="3548"/>
    <m/>
    <n v="440000"/>
    <n v="369747.89915966388"/>
  </r>
  <r>
    <s v="Geronimo Mendez"/>
    <n v="221411"/>
    <d v="2025-12-31T11:32:24"/>
    <s v="76459854-7"/>
    <s v="FERRETERIA BARRACA Y ARIDOS JOSE OSVEN O"/>
    <x v="0"/>
    <s v="Contraloria"/>
    <s v="Selene"/>
    <n v="881598"/>
    <n v="0"/>
    <n v="0"/>
    <s v="Cheque"/>
    <s v="En Caja Operacional"/>
    <n v="2716212"/>
    <d v="2026-01-15T00:00:00"/>
    <n v="295000"/>
    <n v="247899.15966386555"/>
  </r>
  <r>
    <s v="Geronimo Mendez"/>
    <n v="221411"/>
    <d v="2025-12-31T11:32:24"/>
    <s v="76459854-7"/>
    <s v="FERRETERIA BARRACA Y ARIDOS JOSE OSVEN O"/>
    <x v="0"/>
    <s v="Contraloria"/>
    <s v="Selene"/>
    <n v="881598"/>
    <n v="0"/>
    <n v="0"/>
    <s v="Cheque"/>
    <s v="En Caja Operacional"/>
    <n v="2716213"/>
    <d v="2026-02-15T00:00:00"/>
    <n v="295000"/>
    <n v="247899.15966386555"/>
  </r>
  <r>
    <s v="Geronimo Mendez"/>
    <n v="221411"/>
    <d v="2025-12-31T11:32:24"/>
    <s v="76459854-7"/>
    <s v="FERRETERIA BARRACA Y ARIDOS JOSE OSVEN O"/>
    <x v="0"/>
    <s v="Contraloria"/>
    <s v="Selene"/>
    <n v="881598"/>
    <n v="0"/>
    <n v="0"/>
    <s v="Cheque"/>
    <s v="En Caja Operacional"/>
    <n v="2716214"/>
    <d v="2026-03-15T00:00:00"/>
    <n v="291598"/>
    <n v="245040.3361344538"/>
  </r>
  <r>
    <s v="Geronimo Mendez"/>
    <n v="221410"/>
    <d v="2025-12-31T11:26:14"/>
    <s v="77003422-1"/>
    <s v="TRANSPORTES Y SERVICIOS BRICENO SPA"/>
    <x v="0"/>
    <s v="Contraloria"/>
    <s v="Selene"/>
    <n v="1620432"/>
    <n v="0"/>
    <n v="0"/>
    <s v="Cheque"/>
    <s v="En Caja Operacional"/>
    <n v="2962598"/>
    <d v="2026-01-25T00:00:00"/>
    <n v="405108"/>
    <n v="340426.89075630251"/>
  </r>
  <r>
    <s v="Geronimo Mendez"/>
    <n v="221410"/>
    <d v="2025-12-31T11:26:14"/>
    <s v="77003422-1"/>
    <s v="TRANSPORTES Y SERVICIOS BRICENO SPA"/>
    <x v="0"/>
    <s v="Contraloria"/>
    <s v="Selene"/>
    <n v="1620432"/>
    <n v="0"/>
    <n v="0"/>
    <s v="Cheque"/>
    <s v="En Caja Operacional"/>
    <n v="2962599"/>
    <d v="2026-02-25T00:00:00"/>
    <n v="405108"/>
    <n v="340426.89075630251"/>
  </r>
  <r>
    <s v="Geronimo Mendez"/>
    <n v="221410"/>
    <d v="2025-12-31T11:26:14"/>
    <s v="77003422-1"/>
    <s v="TRANSPORTES Y SERVICIOS BRICENO SPA"/>
    <x v="0"/>
    <s v="Contraloria"/>
    <s v="Selene"/>
    <n v="1620432"/>
    <n v="0"/>
    <n v="0"/>
    <s v="Cheque"/>
    <s v="En Caja Operacional"/>
    <n v="2962600"/>
    <d v="2026-03-25T00:00:00"/>
    <n v="405108"/>
    <n v="340426.89075630251"/>
  </r>
  <r>
    <s v="Geronimo Mendez"/>
    <n v="221410"/>
    <d v="2025-12-31T11:26:14"/>
    <s v="77003422-1"/>
    <s v="TRANSPORTES Y SERVICIOS BRICENO SPA"/>
    <x v="0"/>
    <s v="Contraloria"/>
    <s v="Selene"/>
    <n v="1620432"/>
    <n v="0"/>
    <n v="0"/>
    <s v="Cheque"/>
    <s v="En Caja Operacional"/>
    <n v="2962601"/>
    <d v="2026-04-25T00:00:00"/>
    <n v="405108"/>
    <n v="340426.89075630251"/>
  </r>
  <r>
    <s v="Rojas Magallanes"/>
    <n v="221409"/>
    <d v="2025-12-31T11:25:21"/>
    <s v="66666666-6"/>
    <s v="Cliente ROJAS MAGALLANES Generico"/>
    <x v="5"/>
    <s v="Rojas Magallanes"/>
    <s v="Marisol"/>
    <n v="88090"/>
    <n v="0"/>
    <n v="0"/>
    <s v="Efectivo"/>
    <s v="En Caja Operacional"/>
    <m/>
    <m/>
    <n v="88090"/>
    <n v="74025.210084033621"/>
  </r>
  <r>
    <s v="Geronimo Mendez"/>
    <n v="221408"/>
    <d v="2025-12-31T11:22:53"/>
    <s v="13983238-8"/>
    <s v="IVAN ARACENA"/>
    <x v="0"/>
    <s v="Contraloria"/>
    <s v="Selene"/>
    <n v="2143794"/>
    <n v="0"/>
    <n v="0"/>
    <s v="Cheque"/>
    <s v="En Caja Operacional"/>
    <n v="3538797"/>
    <d v="2026-01-30T00:00:00"/>
    <n v="536000"/>
    <n v="450420.16806722688"/>
  </r>
  <r>
    <s v="Geronimo Mendez"/>
    <n v="221408"/>
    <d v="2025-12-31T11:22:53"/>
    <s v="13983238-8"/>
    <s v="IVAN ARACENA"/>
    <x v="0"/>
    <s v="Contraloria"/>
    <s v="Selene"/>
    <n v="2143794"/>
    <n v="0"/>
    <n v="0"/>
    <s v="Cheque"/>
    <s v="En Caja Operacional"/>
    <n v="3538798"/>
    <d v="2026-02-28T00:00:00"/>
    <n v="536000"/>
    <n v="450420.16806722688"/>
  </r>
  <r>
    <s v="Geronimo Mendez"/>
    <n v="221408"/>
    <d v="2025-12-31T11:22:53"/>
    <s v="13983238-8"/>
    <s v="IVAN ARACENA"/>
    <x v="0"/>
    <s v="Contraloria"/>
    <s v="Selene"/>
    <n v="2143794"/>
    <n v="0"/>
    <n v="0"/>
    <s v="Cheque"/>
    <s v="En Caja Operacional"/>
    <n v="3538799"/>
    <d v="2026-03-30T00:00:00"/>
    <n v="536000"/>
    <n v="450420.16806722688"/>
  </r>
  <r>
    <s v="Geronimo Mendez"/>
    <n v="221408"/>
    <d v="2025-12-31T11:22:53"/>
    <s v="13983238-8"/>
    <s v="IVAN ARACENA"/>
    <x v="0"/>
    <s v="Contraloria"/>
    <s v="Selene"/>
    <n v="2143794"/>
    <n v="0"/>
    <n v="0"/>
    <s v="Cheque"/>
    <s v="En Caja Operacional"/>
    <n v="3538800"/>
    <d v="2026-04-30T00:00:00"/>
    <n v="535794"/>
    <n v="450247.05882352946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0"/>
    <d v="2026-01-15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1"/>
    <d v="2026-01-23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2"/>
    <d v="2026-01-30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3"/>
    <d v="2026-02-06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6"/>
    <d v="2026-02-11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7"/>
    <d v="2026-02-17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4"/>
    <d v="2026-02-23T00:00:00"/>
    <n v="374000"/>
    <n v="314285.71428571432"/>
  </r>
  <r>
    <s v="Geronimo Mendez"/>
    <n v="221407"/>
    <d v="2025-12-31T11:19:05"/>
    <s v="76142101-8"/>
    <s v="SERV. AUTO. JUAN TABORGA PEREZ EIRL"/>
    <x v="4"/>
    <s v="Contraloria"/>
    <s v="Selene"/>
    <n v="2992803"/>
    <n v="0"/>
    <n v="0"/>
    <s v="Cheque"/>
    <s v="En Caja Operacional"/>
    <n v="5436605"/>
    <d v="2026-02-28T00:00:00"/>
    <n v="374803"/>
    <n v="314960.50420168071"/>
  </r>
  <r>
    <s v="Linares"/>
    <n v="221406"/>
    <d v="2025-12-31T11:17:49"/>
    <s v="66666666-6"/>
    <s v="Cliente LINARES Generico"/>
    <x v="1"/>
    <s v="Linares"/>
    <s v="Eduardo"/>
    <n v="48327"/>
    <n v="0"/>
    <n v="0"/>
    <s v="Efectivo"/>
    <s v="En Caja Operacional"/>
    <m/>
    <m/>
    <n v="48327"/>
    <n v="40610.924369747903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4"/>
    <d v="2026-01-21T00:00:00"/>
    <n v="290000"/>
    <n v="243697.47899159664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5"/>
    <d v="2026-02-04T00:00:00"/>
    <n v="290000"/>
    <n v="243697.47899159664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6"/>
    <d v="2026-02-11T00:00:00"/>
    <n v="290000"/>
    <n v="243697.47899159664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7"/>
    <d v="2026-02-18T00:00:00"/>
    <n v="290000"/>
    <n v="243697.47899159664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8"/>
    <d v="2026-02-24T00:00:00"/>
    <n v="290000"/>
    <n v="243697.47899159664"/>
  </r>
  <r>
    <s v="Geronimo Mendez"/>
    <n v="221405"/>
    <d v="2025-12-31T11:15:52"/>
    <s v="9811782-2"/>
    <s v="IVAN FLORES"/>
    <x v="4"/>
    <s v="Contraloria"/>
    <s v="Selene"/>
    <n v="1740200"/>
    <n v="0"/>
    <n v="0"/>
    <s v="Cheque"/>
    <s v="En Caja Operacional"/>
    <n v="36379"/>
    <d v="2026-02-28T00:00:00"/>
    <n v="290200"/>
    <n v="243865.5462184874"/>
  </r>
  <r>
    <s v="Ovalle"/>
    <n v="221404"/>
    <d v="2025-12-31T11:14:08"/>
    <s v="66666666-6"/>
    <s v="Cliente OVALLE Generico"/>
    <x v="6"/>
    <s v="Ovalle"/>
    <s v="Emilio"/>
    <n v="16806"/>
    <n v="0"/>
    <n v="0"/>
    <s v="Efectivo"/>
    <s v="En Caja Operacional"/>
    <m/>
    <m/>
    <n v="16806"/>
    <n v="14122.689075630253"/>
  </r>
  <r>
    <s v="Geronimo Mendez"/>
    <n v="221403"/>
    <d v="2025-12-31T11:13:14"/>
    <s v="76140056-8"/>
    <s v="TRANSPORTES EDUARDO MALUENDA GONZALEZ"/>
    <x v="2"/>
    <s v="Contraloria"/>
    <s v="Selene"/>
    <n v="1524609"/>
    <n v="0"/>
    <n v="0"/>
    <s v="Cheque"/>
    <s v="En Caja Operacional"/>
    <n v="5295251"/>
    <d v="2026-01-23T00:00:00"/>
    <n v="350000"/>
    <n v="294117.64705882355"/>
  </r>
  <r>
    <s v="Geronimo Mendez"/>
    <n v="221403"/>
    <d v="2025-12-31T11:13:14"/>
    <s v="76140056-8"/>
    <s v="TRANSPORTES EDUARDO MALUENDA GONZALEZ"/>
    <x v="2"/>
    <s v="Contraloria"/>
    <s v="Selene"/>
    <n v="1524609"/>
    <n v="0"/>
    <n v="0"/>
    <s v="Cheque"/>
    <s v="En Caja Operacional"/>
    <n v="5295252"/>
    <d v="2026-02-23T00:00:00"/>
    <n v="350000"/>
    <n v="294117.64705882355"/>
  </r>
  <r>
    <s v="Geronimo Mendez"/>
    <n v="221403"/>
    <d v="2025-12-31T11:13:14"/>
    <s v="76140056-8"/>
    <s v="TRANSPORTES EDUARDO MALUENDA GONZALEZ"/>
    <x v="2"/>
    <s v="Contraloria"/>
    <s v="Selene"/>
    <n v="1524609"/>
    <n v="0"/>
    <n v="0"/>
    <s v="Cheque"/>
    <s v="En Caja Operacional"/>
    <n v="5295253"/>
    <d v="2026-03-23T00:00:00"/>
    <n v="350000"/>
    <n v="294117.64705882355"/>
  </r>
  <r>
    <s v="Geronimo Mendez"/>
    <n v="221403"/>
    <d v="2025-12-31T11:13:14"/>
    <s v="76140056-8"/>
    <s v="TRANSPORTES EDUARDO MALUENDA GONZALEZ"/>
    <x v="2"/>
    <s v="Contraloria"/>
    <s v="Selene"/>
    <n v="1524609"/>
    <n v="0"/>
    <n v="0"/>
    <s v="Cheque"/>
    <s v="En Caja Operacional"/>
    <n v="5295254"/>
    <d v="2026-04-23T00:00:00"/>
    <n v="474609"/>
    <n v="398831.09243697481"/>
  </r>
  <r>
    <s v="Antillanca"/>
    <n v="221402"/>
    <d v="2025-12-31T11:08:51"/>
    <s v="76520607-3"/>
    <s v="AUTOMOTRIZ MAURICIO ANTONIO REYES EIRL"/>
    <x v="7"/>
    <s v="Antillanca"/>
    <s v="Nataly"/>
    <n v="683302"/>
    <n v="0"/>
    <n v="0"/>
    <s v="Efectivo"/>
    <s v="En Caja Operacional"/>
    <m/>
    <m/>
    <n v="683302"/>
    <n v="574203.36134453781"/>
  </r>
  <r>
    <s v="Antillanca"/>
    <n v="221401"/>
    <d v="2025-12-31T11:05:54"/>
    <s v="6757751-5"/>
    <s v="PEDRO MIGUEL FUENTES"/>
    <x v="7"/>
    <s v="Antillanca"/>
    <s v="Nataly"/>
    <n v="680680"/>
    <n v="0"/>
    <n v="0"/>
    <s v="Efectivo"/>
    <s v="En Caja Operacional"/>
    <m/>
    <m/>
    <n v="680680"/>
    <n v="572000"/>
  </r>
  <r>
    <s v="Ovalle"/>
    <n v="221400"/>
    <d v="2025-12-31T11:05:37"/>
    <s v="76455138-9"/>
    <s v="TRANSPORTES CLAUDIO RAMIRO CARVAJAL ARAYA EIRL"/>
    <x v="6"/>
    <s v="Ovalle"/>
    <s v="Emilio"/>
    <n v="120921"/>
    <n v="0"/>
    <n v="0"/>
    <s v="D√©bito"/>
    <s v="En Caja Operacional"/>
    <n v="436745"/>
    <m/>
    <n v="120921"/>
    <n v="101614.28571428572"/>
  </r>
  <r>
    <s v="Geronimo Mendez"/>
    <n v="221399"/>
    <d v="2025-12-31T11:04:36"/>
    <s v="77143204-2"/>
    <s v="INGENIERIA TECNICA MECANICA SPA"/>
    <x v="8"/>
    <s v="Ventas Local"/>
    <s v="SoporteVenta"/>
    <n v="236175"/>
    <n v="0"/>
    <n v="0"/>
    <s v="Transferencia"/>
    <s v="En Caja Operacional"/>
    <n v="7"/>
    <m/>
    <n v="236175"/>
    <n v="198466.38655462186"/>
  </r>
  <r>
    <s v="Geronimo Mendez"/>
    <n v="221398"/>
    <d v="2025-12-31T11:03:28"/>
    <s v="77143204-2"/>
    <s v="INGENIERIA TECNICA MECANICA SPA"/>
    <x v="8"/>
    <s v="Ventas Local"/>
    <s v="SoporteVenta"/>
    <n v="438762"/>
    <n v="0"/>
    <n v="0"/>
    <s v="Transferencia"/>
    <s v="En Caja Operacional"/>
    <n v="5"/>
    <m/>
    <n v="438762"/>
    <n v="368707.56302521011"/>
  </r>
  <r>
    <s v="Geronimo Mendez"/>
    <n v="221397"/>
    <d v="2025-12-31T11:03:21"/>
    <s v="78089256-0"/>
    <s v="TRANSPORTES JAIME CABALLERO SPA"/>
    <x v="2"/>
    <s v="Contraloria"/>
    <s v="Selene"/>
    <n v="1075096"/>
    <n v="0"/>
    <n v="0"/>
    <s v="Cheque"/>
    <s v="En Caja Operacional"/>
    <n v="5038093"/>
    <d v="2026-01-16T00:00:00"/>
    <n v="268774"/>
    <n v="225860.50420168068"/>
  </r>
  <r>
    <s v="Geronimo Mendez"/>
    <n v="221397"/>
    <d v="2025-12-31T11:03:21"/>
    <s v="78089256-0"/>
    <s v="TRANSPORTES JAIME CABALLERO SPA"/>
    <x v="2"/>
    <s v="Contraloria"/>
    <s v="Selene"/>
    <n v="1075096"/>
    <n v="0"/>
    <n v="0"/>
    <s v="Cheque"/>
    <s v="En Caja Operacional"/>
    <n v="5038094"/>
    <d v="2026-02-17T00:00:00"/>
    <n v="268774"/>
    <n v="225860.50420168068"/>
  </r>
  <r>
    <s v="Geronimo Mendez"/>
    <n v="221397"/>
    <d v="2025-12-31T11:03:21"/>
    <s v="78089256-0"/>
    <s v="TRANSPORTES JAIME CABALLERO SPA"/>
    <x v="2"/>
    <s v="Contraloria"/>
    <s v="Selene"/>
    <n v="1075096"/>
    <n v="0"/>
    <n v="0"/>
    <s v="Cheque"/>
    <s v="En Caja Operacional"/>
    <n v="5038095"/>
    <d v="2026-03-17T00:00:00"/>
    <n v="268774"/>
    <n v="225860.50420168068"/>
  </r>
  <r>
    <s v="Geronimo Mendez"/>
    <n v="221397"/>
    <d v="2025-12-31T11:03:21"/>
    <s v="78089256-0"/>
    <s v="TRANSPORTES JAIME CABALLERO SPA"/>
    <x v="2"/>
    <s v="Contraloria"/>
    <s v="Selene"/>
    <n v="1075096"/>
    <n v="0"/>
    <n v="0"/>
    <s v="Cheque"/>
    <s v="En Caja Operacional"/>
    <n v="5038096"/>
    <d v="2026-04-17T00:00:00"/>
    <n v="268774"/>
    <n v="225860.50420168068"/>
  </r>
  <r>
    <s v="Geronimo Mendez"/>
    <n v="221396"/>
    <d v="2025-12-31T11:01:10"/>
    <s v="78283626-9"/>
    <s v="TRANSPORTES JKARIMV SPA"/>
    <x v="2"/>
    <s v="Contraloria"/>
    <s v="Selene"/>
    <n v="691127"/>
    <n v="0"/>
    <n v="0"/>
    <s v="Cheque"/>
    <s v="En Caja Operacional"/>
    <n v="8529612"/>
    <d v="2026-01-20T00:00:00"/>
    <n v="170000"/>
    <n v="142857.14285714287"/>
  </r>
  <r>
    <s v="Geronimo Mendez"/>
    <n v="221396"/>
    <d v="2025-12-31T11:01:10"/>
    <s v="78283626-9"/>
    <s v="TRANSPORTES JKARIMV SPA"/>
    <x v="2"/>
    <s v="Contraloria"/>
    <s v="Selene"/>
    <n v="691127"/>
    <n v="0"/>
    <n v="0"/>
    <s v="Cheque"/>
    <s v="En Caja Operacional"/>
    <n v="8529613"/>
    <d v="2026-02-20T00:00:00"/>
    <n v="170000"/>
    <n v="142857.14285714287"/>
  </r>
  <r>
    <s v="Geronimo Mendez"/>
    <n v="221396"/>
    <d v="2025-12-31T11:01:10"/>
    <s v="78283626-9"/>
    <s v="TRANSPORTES JKARIMV SPA"/>
    <x v="2"/>
    <s v="Contraloria"/>
    <s v="Selene"/>
    <n v="691127"/>
    <n v="0"/>
    <n v="0"/>
    <s v="Cheque"/>
    <s v="En Caja Operacional"/>
    <n v="8529614"/>
    <d v="2026-03-20T00:00:00"/>
    <n v="170000"/>
    <n v="142857.14285714287"/>
  </r>
  <r>
    <s v="Geronimo Mendez"/>
    <n v="221396"/>
    <d v="2025-12-31T11:01:10"/>
    <s v="78283626-9"/>
    <s v="TRANSPORTES JKARIMV SPA"/>
    <x v="2"/>
    <s v="Contraloria"/>
    <s v="Selene"/>
    <n v="691127"/>
    <n v="0"/>
    <n v="0"/>
    <s v="Cheque"/>
    <s v="En Caja Operacional"/>
    <n v="8529615"/>
    <d v="2026-04-20T00:00:00"/>
    <n v="181127"/>
    <n v="152207.56302521008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3992064"/>
    <d v="2026-01-15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3992065"/>
    <d v="2026-01-30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1"/>
    <d v="2026-02-15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2"/>
    <d v="2026-02-28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3"/>
    <d v="2026-03-15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4"/>
    <d v="2026-03-30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5"/>
    <d v="2026-04-15T00:00:00"/>
    <n v="553754"/>
    <n v="465339.49579831935"/>
  </r>
  <r>
    <s v="Geronimo Mendez"/>
    <n v="221395"/>
    <d v="2025-12-31T10:58:30"/>
    <s v="5534591-0"/>
    <s v="RUBEN DARIO DIAZ"/>
    <x v="0"/>
    <s v="Contraloria"/>
    <s v="Selene"/>
    <n v="4430033"/>
    <n v="0"/>
    <n v="0"/>
    <s v="Cheque"/>
    <s v="En Caja Operacional"/>
    <n v="5799466"/>
    <d v="2026-04-30T00:00:00"/>
    <n v="553755"/>
    <n v="465340.33613445383"/>
  </r>
  <r>
    <s v="Geronimo Mendez"/>
    <n v="221394"/>
    <d v="2025-12-31T10:53:44"/>
    <s v="5738887-0"/>
    <s v="JOVEL LEYTON"/>
    <x v="4"/>
    <s v="Contraloria"/>
    <s v="Selene"/>
    <n v="344785"/>
    <n v="0"/>
    <n v="0"/>
    <s v="Cheque"/>
    <s v="En Caja Operacional"/>
    <n v="1396787"/>
    <d v="2026-01-06T00:00:00"/>
    <n v="172390"/>
    <n v="144865.5462184874"/>
  </r>
  <r>
    <s v="Geronimo Mendez"/>
    <n v="221394"/>
    <d v="2025-12-31T10:53:44"/>
    <s v="5738887-0"/>
    <s v="JOVEL LEYTON"/>
    <x v="4"/>
    <s v="Contraloria"/>
    <s v="Selene"/>
    <n v="344785"/>
    <n v="0"/>
    <n v="0"/>
    <s v="Cheque"/>
    <s v="En Caja Operacional"/>
    <n v="1396788"/>
    <d v="2026-01-13T00:00:00"/>
    <n v="172395"/>
    <n v="144869.74789915967"/>
  </r>
  <r>
    <s v="Geronimo Mendez"/>
    <n v="221393"/>
    <d v="2025-12-31T10:51:56"/>
    <s v="76966300-2"/>
    <s v="SOC. COMERCIAL SERVICIOS KARONI LTDA."/>
    <x v="4"/>
    <s v="Contraloria"/>
    <s v="Selene"/>
    <n v="1303890"/>
    <n v="0"/>
    <n v="0"/>
    <s v="Cheque"/>
    <s v="En Caja Operacional"/>
    <n v="424"/>
    <d v="2026-01-15T00:00:00"/>
    <n v="434630"/>
    <n v="365235.29411764705"/>
  </r>
  <r>
    <s v="Geronimo Mendez"/>
    <n v="221393"/>
    <d v="2025-12-31T10:51:56"/>
    <s v="76966300-2"/>
    <s v="SOC. COMERCIAL SERVICIOS KARONI LTDA."/>
    <x v="4"/>
    <s v="Contraloria"/>
    <s v="Selene"/>
    <n v="1303890"/>
    <n v="0"/>
    <n v="0"/>
    <s v="Cheque"/>
    <s v="En Caja Operacional"/>
    <n v="425"/>
    <d v="2026-01-26T00:00:00"/>
    <n v="434630"/>
    <n v="365235.29411764705"/>
  </r>
  <r>
    <s v="Geronimo Mendez"/>
    <n v="221393"/>
    <d v="2025-12-31T10:51:56"/>
    <s v="76966300-2"/>
    <s v="SOC. COMERCIAL SERVICIOS KARONI LTDA."/>
    <x v="4"/>
    <s v="Contraloria"/>
    <s v="Selene"/>
    <n v="1303890"/>
    <n v="0"/>
    <n v="0"/>
    <s v="Cheque"/>
    <s v="En Caja Operacional"/>
    <n v="427"/>
    <d v="2026-02-17T00:00:00"/>
    <n v="434630"/>
    <n v="365235.29411764705"/>
  </r>
  <r>
    <s v="Geronimo Mendez"/>
    <n v="221392"/>
    <d v="2025-12-31T10:50:05"/>
    <s v="8372647-4"/>
    <s v="INES GODOY"/>
    <x v="2"/>
    <s v="Contraloria"/>
    <s v="Selene"/>
    <n v="719936"/>
    <n v="0"/>
    <n v="0"/>
    <s v="Cheque"/>
    <s v="En Caja Operacional"/>
    <n v="2458401"/>
    <d v="2026-01-22T00:00:00"/>
    <n v="116000"/>
    <n v="97478.991596638662"/>
  </r>
  <r>
    <s v="Geronimo Mendez"/>
    <n v="221392"/>
    <d v="2025-12-31T10:50:05"/>
    <s v="8372647-4"/>
    <s v="INES GODOY"/>
    <x v="2"/>
    <s v="Contraloria"/>
    <s v="Selene"/>
    <n v="719936"/>
    <n v="0"/>
    <n v="0"/>
    <s v="Cheque"/>
    <s v="En Caja Operacional"/>
    <n v="2458402"/>
    <d v="2026-02-22T00:00:00"/>
    <n v="116000"/>
    <n v="97478.991596638662"/>
  </r>
  <r>
    <s v="Geronimo Mendez"/>
    <n v="221392"/>
    <d v="2025-12-31T10:50:05"/>
    <s v="8372647-4"/>
    <s v="INES GODOY"/>
    <x v="2"/>
    <s v="Contraloria"/>
    <s v="Selene"/>
    <n v="719936"/>
    <n v="0"/>
    <n v="0"/>
    <s v="Cheque"/>
    <s v="En Caja Operacional"/>
    <n v="2458403"/>
    <d v="2026-03-22T00:00:00"/>
    <n v="116637"/>
    <n v="98014.285714285725"/>
  </r>
  <r>
    <s v="Geronimo Mendez"/>
    <n v="221392"/>
    <d v="2025-12-31T10:50:05"/>
    <s v="8372647-4"/>
    <s v="INES GODOY"/>
    <x v="2"/>
    <s v="Contraloria"/>
    <s v="Selene"/>
    <n v="719936"/>
    <n v="0"/>
    <n v="0"/>
    <s v="Transferencia"/>
    <s v="En Caja Operacional"/>
    <n v="276554"/>
    <m/>
    <n v="371299"/>
    <n v="312015.96638655465"/>
  </r>
  <r>
    <s v="Geronimo Mendez"/>
    <n v="221391"/>
    <d v="2025-12-31T10:47:48"/>
    <s v="13826943-4"/>
    <s v="JUAN VALDERRAMA"/>
    <x v="2"/>
    <s v="Contraloria"/>
    <s v="Selene"/>
    <n v="332498"/>
    <n v="0"/>
    <n v="0"/>
    <s v="Cheque"/>
    <s v="En Caja Operacional"/>
    <n v="2458404"/>
    <d v="2026-01-22T00:00:00"/>
    <n v="110000"/>
    <n v="92436.97478991597"/>
  </r>
  <r>
    <s v="Geronimo Mendez"/>
    <n v="221391"/>
    <d v="2025-12-31T10:47:48"/>
    <s v="13826943-4"/>
    <s v="JUAN VALDERRAMA"/>
    <x v="2"/>
    <s v="Contraloria"/>
    <s v="Selene"/>
    <n v="332498"/>
    <n v="0"/>
    <n v="0"/>
    <s v="Cheque"/>
    <s v="En Caja Operacional"/>
    <n v="2458405"/>
    <d v="2026-02-22T00:00:00"/>
    <n v="110000"/>
    <n v="92436.97478991597"/>
  </r>
  <r>
    <s v="Geronimo Mendez"/>
    <n v="221391"/>
    <d v="2025-12-31T10:47:48"/>
    <s v="13826943-4"/>
    <s v="JUAN VALDERRAMA"/>
    <x v="2"/>
    <s v="Contraloria"/>
    <s v="Selene"/>
    <n v="332498"/>
    <n v="0"/>
    <n v="0"/>
    <s v="Cheque"/>
    <s v="En Caja Operacional"/>
    <n v="2458406"/>
    <d v="2026-03-22T00:00:00"/>
    <n v="112498"/>
    <n v="94536.134453781517"/>
  </r>
  <r>
    <s v="Geronimo Mendez"/>
    <n v="221390"/>
    <d v="2025-12-31T10:46:21"/>
    <s v="9468292-4"/>
    <s v="JUAN CASTILLO"/>
    <x v="2"/>
    <s v="Contraloria"/>
    <s v="Selene"/>
    <n v="1266735"/>
    <n v="0"/>
    <n v="0"/>
    <s v="Cheque"/>
    <s v="En Caja Operacional"/>
    <n v="7088095"/>
    <d v="2026-01-22T00:00:00"/>
    <n v="306735"/>
    <n v="257760.50420168068"/>
  </r>
  <r>
    <s v="Geronimo Mendez"/>
    <n v="221390"/>
    <d v="2025-12-31T10:46:21"/>
    <s v="9468292-4"/>
    <s v="JUAN CASTILLO"/>
    <x v="2"/>
    <s v="Contraloria"/>
    <s v="Selene"/>
    <n v="1266735"/>
    <n v="0"/>
    <n v="0"/>
    <s v="Cheque"/>
    <s v="En Caja Operacional"/>
    <n v="7088096"/>
    <d v="2026-02-22T00:00:00"/>
    <n v="320000"/>
    <n v="268907.56302521011"/>
  </r>
  <r>
    <s v="Geronimo Mendez"/>
    <n v="221390"/>
    <d v="2025-12-31T10:46:21"/>
    <s v="9468292-4"/>
    <s v="JUAN CASTILLO"/>
    <x v="2"/>
    <s v="Contraloria"/>
    <s v="Selene"/>
    <n v="1266735"/>
    <n v="0"/>
    <n v="0"/>
    <s v="Cheque"/>
    <s v="En Caja Operacional"/>
    <n v="7088097"/>
    <d v="2026-03-22T00:00:00"/>
    <n v="320000"/>
    <n v="268907.56302521011"/>
  </r>
  <r>
    <s v="Geronimo Mendez"/>
    <n v="221390"/>
    <d v="2025-12-31T10:46:21"/>
    <s v="9468292-4"/>
    <s v="JUAN CASTILLO"/>
    <x v="2"/>
    <s v="Contraloria"/>
    <s v="Selene"/>
    <n v="1266735"/>
    <n v="0"/>
    <n v="0"/>
    <s v="Cheque"/>
    <s v="En Caja Operacional"/>
    <n v="7088098"/>
    <d v="2026-04-22T00:00:00"/>
    <n v="320000"/>
    <n v="268907.56302521011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Cheque"/>
    <s v="En Caja Operacional"/>
    <n v="2219964"/>
    <d v="2026-01-03T00:00:00"/>
    <n v="142000"/>
    <n v="119327.73109243698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Cheque"/>
    <s v="En Caja Operacional"/>
    <n v="2219965"/>
    <d v="2026-01-15T00:00:00"/>
    <n v="142000"/>
    <n v="119327.73109243698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Cheque"/>
    <s v="En Caja Operacional"/>
    <n v="2219966"/>
    <d v="2026-01-25T00:00:00"/>
    <n v="142000"/>
    <n v="119327.73109243698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Cheque"/>
    <s v="En Caja Operacional"/>
    <n v="2219967"/>
    <d v="2026-02-10T00:00:00"/>
    <n v="143452"/>
    <n v="120547.89915966387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Efectivo"/>
    <s v="En Caja Operacional"/>
    <m/>
    <m/>
    <n v="350000"/>
    <n v="294117.64705882355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Transferencia"/>
    <s v="En Caja Operacional"/>
    <n v="276570"/>
    <m/>
    <n v="300000"/>
    <n v="252100.84033613445"/>
  </r>
  <r>
    <s v="Geronimo Mendez"/>
    <n v="221389"/>
    <d v="2025-12-31T10:44:41"/>
    <s v="77801409-2"/>
    <s v="INVERSIONES MAPAVIVA SPA"/>
    <x v="2"/>
    <s v="Contraloria"/>
    <s v="Selene"/>
    <n v="1519452"/>
    <n v="0"/>
    <n v="0"/>
    <s v="Transferencia"/>
    <s v="En Caja Operacional"/>
    <n v="276570"/>
    <m/>
    <n v="300000"/>
    <n v="252100.84033613445"/>
  </r>
  <r>
    <s v="Rojas Magallanes"/>
    <n v="221388"/>
    <d v="2025-12-31T10:42:30"/>
    <s v="7434715-0"/>
    <s v="victor riquelme"/>
    <x v="5"/>
    <s v="Rojas Magallanes"/>
    <s v="Marisol"/>
    <n v="37288"/>
    <n v="0"/>
    <n v="0"/>
    <s v="D√©bito"/>
    <s v="En Caja Operacional"/>
    <n v="3764"/>
    <m/>
    <n v="37288"/>
    <n v="31334.453781512606"/>
  </r>
  <r>
    <s v="Rojas Magallanes"/>
    <n v="221387"/>
    <d v="2025-12-31T10:40:49"/>
    <s v="76996175-5"/>
    <s v="GT AIR SPA"/>
    <x v="5"/>
    <s v="Rojas Magallanes"/>
    <s v="Marisol"/>
    <n v="130517"/>
    <n v="0"/>
    <n v="0"/>
    <s v="Transferencia"/>
    <s v="En Caja Operacional"/>
    <n v="2721115"/>
    <m/>
    <n v="130517"/>
    <n v="109678.15126050421"/>
  </r>
  <r>
    <s v="Geronimo Mendez"/>
    <n v="221386"/>
    <d v="2025-12-31T10:38:56"/>
    <s v="5720981-K"/>
    <s v="ORLANDO VILCHEZ"/>
    <x v="2"/>
    <s v="Contraloria"/>
    <s v="Selene"/>
    <n v="2060438"/>
    <n v="0"/>
    <n v="0"/>
    <s v="Cheque"/>
    <s v="En Caja Operacional"/>
    <n v="5342371"/>
    <d v="2026-01-20T00:00:00"/>
    <n v="680438"/>
    <n v="571796.63865546219"/>
  </r>
  <r>
    <s v="Geronimo Mendez"/>
    <n v="221386"/>
    <d v="2025-12-31T10:38:56"/>
    <s v="5720981-K"/>
    <s v="ORLANDO VILCHEZ"/>
    <x v="2"/>
    <s v="Contraloria"/>
    <s v="Selene"/>
    <n v="2060438"/>
    <n v="0"/>
    <n v="0"/>
    <s v="Cheque"/>
    <s v="En Caja Operacional"/>
    <n v="5342372"/>
    <d v="2026-02-20T00:00:00"/>
    <n v="690000"/>
    <n v="579831.93277310929"/>
  </r>
  <r>
    <s v="Geronimo Mendez"/>
    <n v="221386"/>
    <d v="2025-12-31T10:38:56"/>
    <s v="5720981-K"/>
    <s v="ORLANDO VILCHEZ"/>
    <x v="2"/>
    <s v="Contraloria"/>
    <s v="Selene"/>
    <n v="2060438"/>
    <n v="0"/>
    <n v="0"/>
    <s v="Cheque"/>
    <s v="En Caja Operacional"/>
    <n v="5342373"/>
    <d v="2026-03-20T00:00:00"/>
    <n v="690000"/>
    <n v="579831.93277310929"/>
  </r>
  <r>
    <s v="Antillanca"/>
    <n v="221385"/>
    <d v="2025-12-31T10:37:08"/>
    <s v="11944056-4"/>
    <s v="LEYLA ISABEL VILLARREAL"/>
    <x v="3"/>
    <s v="Antillanca"/>
    <s v="Nataly"/>
    <n v="1088154"/>
    <n v="0"/>
    <n v="0"/>
    <s v="Cheque"/>
    <s v="En Caja Operacional"/>
    <n v="2079006"/>
    <d v="2026-01-15T00:00:00"/>
    <n v="370000"/>
    <n v="310924.36974789918"/>
  </r>
  <r>
    <s v="Antillanca"/>
    <n v="221385"/>
    <d v="2025-12-31T10:37:08"/>
    <s v="11944056-4"/>
    <s v="LEYLA ISABEL VILLARREAL"/>
    <x v="3"/>
    <s v="Antillanca"/>
    <s v="Nataly"/>
    <n v="1088154"/>
    <n v="0"/>
    <n v="0"/>
    <s v="Cheque"/>
    <s v="En Caja Operacional"/>
    <n v="2079004"/>
    <d v="2026-02-15T00:00:00"/>
    <n v="370000"/>
    <n v="310924.36974789918"/>
  </r>
  <r>
    <s v="Antillanca"/>
    <n v="221385"/>
    <d v="2025-12-31T10:37:08"/>
    <s v="11944056-4"/>
    <s v="LEYLA ISABEL VILLARREAL"/>
    <x v="3"/>
    <s v="Antillanca"/>
    <s v="Nataly"/>
    <n v="1088154"/>
    <n v="0"/>
    <n v="0"/>
    <s v="Cheque"/>
    <s v="En Caja Operacional"/>
    <n v="2079003"/>
    <d v="2026-03-15T00:00:00"/>
    <n v="348154"/>
    <n v="292566.38655462186"/>
  </r>
  <r>
    <s v="Geronimo Mendez"/>
    <n v="221384"/>
    <d v="2025-12-31T10:36:12"/>
    <s v="76653720-0"/>
    <s v="TRANSPORTES VAN OOSTERWYK LIMITADA"/>
    <x v="2"/>
    <s v="Contraloria"/>
    <s v="Selene"/>
    <n v="716190"/>
    <n v="0"/>
    <n v="0"/>
    <s v="Transferencia"/>
    <s v="En Caja Operacional"/>
    <n v="276571"/>
    <m/>
    <n v="716190"/>
    <n v="601840.33613445377"/>
  </r>
  <r>
    <s v="Rojas Magallanes"/>
    <n v="221383"/>
    <d v="2025-12-31T10:32:02"/>
    <s v="7048981-3"/>
    <s v="luis ponzano"/>
    <x v="5"/>
    <s v="Rojas Magallanes"/>
    <s v="Marisol"/>
    <n v="26544"/>
    <n v="0"/>
    <n v="0"/>
    <s v="Efectivo"/>
    <s v="En Caja Operacional"/>
    <m/>
    <m/>
    <n v="26544"/>
    <n v="22305.882352941178"/>
  </r>
  <r>
    <s v="Geronimo Mendez"/>
    <n v="221382"/>
    <d v="2025-12-31T10:31:54"/>
    <s v="76274900-9"/>
    <s v="SOC. TRANSPORTES TRANS JAVIER LTDA"/>
    <x v="2"/>
    <s v="Contraloria"/>
    <s v="Selene"/>
    <n v="1363524"/>
    <n v="0"/>
    <n v="0"/>
    <s v="Transferencia"/>
    <s v="En Caja Operacional"/>
    <n v="276573"/>
    <m/>
    <n v="1363524"/>
    <n v="1145818.487394958"/>
  </r>
  <r>
    <s v="Antillanca"/>
    <n v="221381"/>
    <d v="2025-12-31T10:31:06"/>
    <s v="99555440-2"/>
    <s v="TRASANDINO S.A."/>
    <x v="9"/>
    <s v="Antillanca"/>
    <s v="Nataly"/>
    <n v="1750014"/>
    <n v="0"/>
    <n v="0"/>
    <s v="Transferencia"/>
    <s v="En Caja Operacional"/>
    <n v="202"/>
    <m/>
    <n v="1750014"/>
    <n v="1470600"/>
  </r>
  <r>
    <s v="Rojas Magallanes"/>
    <n v="221380"/>
    <d v="2025-12-31T10:30:18"/>
    <s v="66666666-6"/>
    <s v="Cliente ROJAS MAGALLANES Generico"/>
    <x v="5"/>
    <s v="Rojas Magallanes"/>
    <s v="Marisol"/>
    <n v="69724"/>
    <n v="0"/>
    <n v="0"/>
    <s v="Transferencia"/>
    <s v="En Caja Operacional"/>
    <n v="272113"/>
    <m/>
    <n v="69724"/>
    <n v="58591.596638655465"/>
  </r>
  <r>
    <s v="Linares"/>
    <n v="221379"/>
    <d v="2025-12-31T10:25:48"/>
    <s v="9262987-2"/>
    <s v="EDUARDO ENRIQUE PONCE"/>
    <x v="1"/>
    <s v="Linares"/>
    <s v="Eduardo"/>
    <n v="44870"/>
    <n v="0"/>
    <n v="0"/>
    <s v="Efectivo"/>
    <s v="En Caja Operacional"/>
    <m/>
    <m/>
    <n v="44870"/>
    <n v="37705.882352941175"/>
  </r>
  <r>
    <s v="Geronimo Mendez"/>
    <n v="221378"/>
    <d v="2025-12-31T10:25:26"/>
    <s v="77749711-1"/>
    <s v="TRANSPORTES MORENO HERMANOS SPA"/>
    <x v="0"/>
    <s v="Contraloria"/>
    <s v="Selene"/>
    <n v="650549"/>
    <n v="0"/>
    <n v="0"/>
    <s v="Transferencia"/>
    <s v="En Caja Operacional"/>
    <n v="275639"/>
    <m/>
    <n v="366839"/>
    <n v="308268.06722689077"/>
  </r>
  <r>
    <s v="Geronimo Mendez"/>
    <n v="221378"/>
    <d v="2025-12-31T10:25:26"/>
    <s v="77749711-1"/>
    <s v="TRANSPORTES MORENO HERMANOS SPA"/>
    <x v="0"/>
    <s v="Contraloria"/>
    <s v="Selene"/>
    <n v="650549"/>
    <n v="0"/>
    <n v="0"/>
    <s v="Transferencia"/>
    <s v="En Caja Operacional"/>
    <n v="275639"/>
    <m/>
    <n v="91710"/>
    <n v="77067.226890756312"/>
  </r>
  <r>
    <s v="Geronimo Mendez"/>
    <n v="221378"/>
    <d v="2025-12-31T10:25:26"/>
    <s v="77749711-1"/>
    <s v="TRANSPORTES MORENO HERMANOS SPA"/>
    <x v="0"/>
    <s v="Contraloria"/>
    <s v="Selene"/>
    <n v="650549"/>
    <n v="0"/>
    <n v="0"/>
    <s v="Transferencia"/>
    <s v="En Caja Operacional"/>
    <n v="275639"/>
    <m/>
    <n v="192000"/>
    <n v="161344.53781512607"/>
  </r>
  <r>
    <s v="Geronimo Mendez"/>
    <n v="221377"/>
    <d v="2025-12-31T10:23:42"/>
    <s v="77331804-2"/>
    <s v="TRANSPORTES S MORENO SPA"/>
    <x v="0"/>
    <s v="Contraloria"/>
    <s v="Selene"/>
    <n v="366839"/>
    <n v="0"/>
    <n v="0"/>
    <s v="Transferencia"/>
    <s v="En Caja Operacional"/>
    <n v="275638"/>
    <m/>
    <n v="366839"/>
    <n v="308268.06722689077"/>
  </r>
  <r>
    <s v="Linares"/>
    <n v="221376"/>
    <d v="2025-12-31T10:19:00"/>
    <s v="66666666-6"/>
    <s v="Cliente LINARES Generico"/>
    <x v="1"/>
    <s v="Linares"/>
    <s v="Eduardo"/>
    <n v="56367"/>
    <n v="0"/>
    <n v="0"/>
    <s v="D√©bito"/>
    <s v="En Caja Operacional"/>
    <n v="752683"/>
    <m/>
    <n v="56367"/>
    <n v="47367.226890756305"/>
  </r>
  <r>
    <s v="Geronimo Mendez"/>
    <n v="221375"/>
    <d v="2025-12-31T10:11:57"/>
    <s v="76225790-4"/>
    <s v="SOC. COMERCIAL AUTOLINE LTDA"/>
    <x v="2"/>
    <s v="Contraloria"/>
    <s v="Selene"/>
    <n v="171169"/>
    <n v="0"/>
    <n v="0"/>
    <s v="Transferencia"/>
    <s v="En Caja Operacional"/>
    <n v="276562"/>
    <m/>
    <n v="71169"/>
    <n v="59805.882352941182"/>
  </r>
  <r>
    <s v="Geronimo Mendez"/>
    <n v="221375"/>
    <d v="2025-12-31T10:11:57"/>
    <s v="76225790-4"/>
    <s v="SOC. COMERCIAL AUTOLINE LTDA"/>
    <x v="2"/>
    <s v="Contraloria"/>
    <s v="Selene"/>
    <n v="171169"/>
    <n v="0"/>
    <n v="0"/>
    <s v="Transferencia"/>
    <s v="En Caja Operacional"/>
    <n v="276562"/>
    <m/>
    <n v="100000"/>
    <n v="84033.613445378156"/>
  </r>
  <r>
    <s v="Linares"/>
    <n v="221374"/>
    <d v="2025-12-31T10:11:19"/>
    <s v="66666666-6"/>
    <s v="Cliente LINARES Generico"/>
    <x v="1"/>
    <s v="Linares"/>
    <s v="Eduardo"/>
    <n v="99804"/>
    <n v="0"/>
    <n v="0"/>
    <s v="Cr√©dito"/>
    <s v="En Caja Operacional"/>
    <n v="100469"/>
    <m/>
    <n v="99804"/>
    <n v="83868.907563025219"/>
  </r>
  <r>
    <s v="Geronimo Mendez"/>
    <n v="221373"/>
    <d v="2025-12-31T10:08:03"/>
    <s v="8183523-3"/>
    <s v="ROSA CONTRERAS"/>
    <x v="2"/>
    <s v="Contraloria"/>
    <s v="Selene"/>
    <n v="52512"/>
    <n v="0"/>
    <n v="0"/>
    <s v="Transferencia"/>
    <s v="En Caja Operacional"/>
    <n v="276563"/>
    <m/>
    <n v="52512"/>
    <n v="44127.731092436974"/>
  </r>
  <r>
    <s v="Geronimo Mendez"/>
    <n v="221372"/>
    <d v="2025-12-31T10:06:58"/>
    <s v="77059029-9"/>
    <s v="COMERCIALIZADORA DE FLEXIBLES REPUESTOS EN GENERAL SALVADOR ESTEBAN"/>
    <x v="2"/>
    <s v="Contraloria"/>
    <s v="Selene"/>
    <n v="163318"/>
    <n v="0"/>
    <n v="0"/>
    <s v="Transferencia"/>
    <s v="En Caja Operacional"/>
    <n v="276564"/>
    <m/>
    <n v="163318"/>
    <n v="137242.01680672271"/>
  </r>
  <r>
    <s v="Ovalle"/>
    <n v="221371"/>
    <d v="2025-12-31T10:06:48"/>
    <s v="76966059-3"/>
    <s v="VOLCAN MINO SPA"/>
    <x v="6"/>
    <s v="Ovalle"/>
    <s v="Emilio"/>
    <n v="257980"/>
    <n v="0"/>
    <n v="0"/>
    <s v="D√©bito"/>
    <s v="En Caja Operacional"/>
    <n v="24475"/>
    <m/>
    <n v="257980"/>
    <n v="216789.91596638656"/>
  </r>
  <r>
    <s v="Geronimo Mendez"/>
    <n v="221370"/>
    <d v="2025-12-31T10:06:04"/>
    <s v="17866399-2"/>
    <s v="DANIEL ANDRES TAPIA"/>
    <x v="2"/>
    <s v="Contraloria"/>
    <s v="Selene"/>
    <n v="2896120"/>
    <n v="0"/>
    <n v="0"/>
    <s v="Transferencia"/>
    <s v="En Caja Operacional"/>
    <n v="276555"/>
    <m/>
    <n v="2428340"/>
    <n v="2040621.848739496"/>
  </r>
  <r>
    <s v="Geronimo Mendez"/>
    <n v="221370"/>
    <d v="2025-12-31T10:06:04"/>
    <s v="17866399-2"/>
    <s v="DANIEL ANDRES TAPIA"/>
    <x v="2"/>
    <s v="Contraloria"/>
    <s v="Selene"/>
    <n v="2896120"/>
    <n v="0"/>
    <n v="0"/>
    <s v="Transferencia"/>
    <s v="En Caja Operacional"/>
    <n v="276555"/>
    <m/>
    <n v="467780"/>
    <n v="393092.43697478995"/>
  </r>
  <r>
    <s v="Geronimo Mendez"/>
    <n v="221369"/>
    <d v="2025-12-31T10:04:41"/>
    <s v="13328793-0"/>
    <s v="PETER ANTONIO GONZALEZ"/>
    <x v="2"/>
    <s v="Contraloria"/>
    <s v="Selene"/>
    <n v="128209"/>
    <n v="0"/>
    <n v="0"/>
    <s v="Transferencia"/>
    <s v="En Caja Operacional"/>
    <n v="276560"/>
    <m/>
    <n v="128209"/>
    <n v="107738.65546218488"/>
  </r>
  <r>
    <s v="Geronimo Mendez"/>
    <n v="221368"/>
    <d v="2025-12-31T10:03:08"/>
    <s v="6776306-8"/>
    <s v="AMELIA LEIVA"/>
    <x v="2"/>
    <s v="Contraloria"/>
    <s v="Selene"/>
    <n v="508182"/>
    <n v="0"/>
    <n v="0"/>
    <s v="Transferencia"/>
    <s v="En Caja Operacional"/>
    <n v="276559"/>
    <m/>
    <n v="200000"/>
    <n v="168067.22689075631"/>
  </r>
  <r>
    <s v="Geronimo Mendez"/>
    <n v="221368"/>
    <d v="2025-12-31T10:03:08"/>
    <s v="6776306-8"/>
    <s v="AMELIA LEIVA"/>
    <x v="2"/>
    <s v="Contraloria"/>
    <s v="Selene"/>
    <n v="508182"/>
    <n v="0"/>
    <n v="0"/>
    <s v="Transferencia"/>
    <s v="En Caja Operacional"/>
    <n v="276559"/>
    <m/>
    <n v="208182"/>
    <n v="174942.85714285716"/>
  </r>
  <r>
    <s v="Geronimo Mendez"/>
    <n v="221368"/>
    <d v="2025-12-31T10:03:08"/>
    <s v="6776306-8"/>
    <s v="AMELIA LEIVA"/>
    <x v="2"/>
    <s v="Contraloria"/>
    <s v="Selene"/>
    <n v="508182"/>
    <n v="0"/>
    <n v="0"/>
    <s v="Transferencia"/>
    <s v="En Caja Operacional"/>
    <n v="276559"/>
    <m/>
    <n v="100000"/>
    <n v="84033.613445378156"/>
  </r>
  <r>
    <s v="Geronimo Mendez"/>
    <n v="1"/>
    <d v="2025-12-31T10:01:48"/>
    <s v="77979321-4"/>
    <s v="COMERCIAL CENTRAL REPUESTOS SPA"/>
    <x v="2"/>
    <s v="Contraloria"/>
    <s v="Selene"/>
    <n v="208410"/>
    <n v="0"/>
    <n v="2"/>
    <s v="Transferencia"/>
    <s v="En Caja Operacional"/>
    <n v="276557"/>
    <m/>
    <n v="208410"/>
    <n v="175134.45378151262"/>
  </r>
  <r>
    <s v="Ovalle"/>
    <n v="221367"/>
    <d v="2025-12-31T09:59:44"/>
    <s v="12944882-2"/>
    <s v="RENE ROSARIO GUERRERO"/>
    <x v="6"/>
    <s v="Ovalle"/>
    <s v="Emilio"/>
    <n v="186256"/>
    <n v="0"/>
    <n v="0"/>
    <s v="D√©bito"/>
    <s v="En Caja Operacional"/>
    <n v="915612"/>
    <m/>
    <n v="186256"/>
    <n v="156517.64705882352"/>
  </r>
  <r>
    <s v="Geronimo Mendez"/>
    <n v="221366"/>
    <d v="2025-12-31T09:57:09"/>
    <s v="7675966-9"/>
    <s v="MARIA TERESA CARRILLO"/>
    <x v="4"/>
    <s v="Contraloria"/>
    <s v="Selene"/>
    <n v="473625"/>
    <n v="0"/>
    <n v="0"/>
    <s v="Transferencia"/>
    <s v="En Caja Operacional"/>
    <n v="276523"/>
    <m/>
    <n v="473625"/>
    <n v="398004.2016806723"/>
  </r>
  <r>
    <s v="Geronimo Mendez"/>
    <n v="221365"/>
    <d v="2025-12-31T09:55:15"/>
    <s v="13015607-K"/>
    <s v="NEFI RODRIGO  CASTILLO"/>
    <x v="4"/>
    <s v="Contraloria"/>
    <s v="Selene"/>
    <n v="81711"/>
    <n v="0"/>
    <n v="0"/>
    <s v="Transferencia"/>
    <s v="En Caja Operacional"/>
    <n v="276521"/>
    <m/>
    <n v="81711"/>
    <n v="68664.705882352951"/>
  </r>
  <r>
    <s v="Antillanca"/>
    <n v="221364"/>
    <d v="2025-12-31T09:53:10"/>
    <s v="77058726-3"/>
    <s v="COMERCIAL M C SPA"/>
    <x v="7"/>
    <s v="Antillanca"/>
    <s v="Nataly"/>
    <n v="628424"/>
    <n v="0"/>
    <n v="0"/>
    <s v="Cheque"/>
    <s v="En Caja Operacional"/>
    <n v="5413639"/>
    <d v="2025-12-22T00:00:00"/>
    <n v="228424"/>
    <n v="191952.9411764706"/>
  </r>
  <r>
    <s v="Antillanca"/>
    <n v="221364"/>
    <d v="2025-12-31T09:53:10"/>
    <s v="77058726-3"/>
    <s v="COMERCIAL M C SPA"/>
    <x v="7"/>
    <s v="Antillanca"/>
    <s v="Nataly"/>
    <n v="628424"/>
    <n v="0"/>
    <n v="0"/>
    <s v="Cheque"/>
    <s v="En Caja Operacional"/>
    <n v="5413640"/>
    <d v="2025-01-10T00:00:00"/>
    <n v="400000"/>
    <n v="336134.45378151262"/>
  </r>
  <r>
    <s v="Geronimo Mendez"/>
    <n v="221363"/>
    <d v="2025-12-31T09:53:08"/>
    <s v="77408515-7"/>
    <s v="VENTA STORE CHILE SPA"/>
    <x v="4"/>
    <s v="Contraloria"/>
    <s v="Selene"/>
    <n v="95319"/>
    <n v="0"/>
    <n v="0"/>
    <s v="Transferencia"/>
    <s v="En Caja Operacional"/>
    <n v="276520"/>
    <m/>
    <n v="95319"/>
    <n v="80100"/>
  </r>
  <r>
    <s v="Geronimo Mendez"/>
    <n v="221362"/>
    <d v="2025-12-31T09:49:36"/>
    <s v="18969126-2"/>
    <s v="PAULO ANDRES HONORES"/>
    <x v="4"/>
    <s v="Contraloria"/>
    <s v="Selene"/>
    <n v="849133"/>
    <n v="0"/>
    <n v="0"/>
    <s v="Transferencia"/>
    <s v="En Caja Operacional"/>
    <n v="276518"/>
    <m/>
    <n v="849133"/>
    <n v="713557.14285714284"/>
  </r>
  <r>
    <s v="Geronimo Mendez"/>
    <n v="221361"/>
    <d v="2025-12-31T09:47:52"/>
    <s v="13179912-8"/>
    <s v="EMILIO IVAN ZAPATA"/>
    <x v="4"/>
    <s v="Contraloria"/>
    <s v="Selene"/>
    <n v="347923"/>
    <n v="0"/>
    <n v="0"/>
    <s v="Transferencia"/>
    <s v="En Caja Operacional"/>
    <n v="276517"/>
    <m/>
    <n v="347923"/>
    <n v="292372.26890756306"/>
  </r>
  <r>
    <s v="Geronimo Mendez"/>
    <n v="221360"/>
    <d v="2025-12-31T09:45:55"/>
    <s v="66666666-6"/>
    <s v="Cliente GERONIMO MENDEZ Generico"/>
    <x v="8"/>
    <s v="Ventas Local"/>
    <s v="Maiko"/>
    <n v="30446"/>
    <n v="0"/>
    <n v="0"/>
    <s v="D√©bito"/>
    <s v="En Caja Operacional"/>
    <n v="528014"/>
    <m/>
    <n v="30446"/>
    <n v="25584.873949579833"/>
  </r>
  <r>
    <s v="Ovalle"/>
    <n v="221359"/>
    <d v="2025-12-31T09:36:48"/>
    <s v="66666666-6"/>
    <s v="Cliente OVALLE Generico"/>
    <x v="6"/>
    <s v="Ovalle"/>
    <s v="Emilio"/>
    <n v="22816"/>
    <n v="0"/>
    <n v="0"/>
    <s v="Efectivo"/>
    <s v="En Caja Operacional"/>
    <m/>
    <m/>
    <n v="22816"/>
    <n v="19173.10924369748"/>
  </r>
  <r>
    <s v="Geronimo Mendez"/>
    <n v="221358"/>
    <d v="2025-12-31T09:00:35"/>
    <s v="76838059-7"/>
    <s v="CONSTRUCTORA RODRIGO ALBERTO ELORZA GALLARDO EIRL"/>
    <x v="8"/>
    <s v="Ventas Local"/>
    <s v="Maiko"/>
    <n v="150880"/>
    <n v="0"/>
    <n v="0"/>
    <s v="D√©bito"/>
    <s v="En Caja Operacional"/>
    <n v="7782"/>
    <m/>
    <n v="150880"/>
    <n v="126789.91596638656"/>
  </r>
  <r>
    <s v="Antillanca"/>
    <n v="221357"/>
    <d v="2025-12-31T08:53:52"/>
    <s v="76232717-1"/>
    <s v="LUBRICENTRO JUAN PABLO GALLARDO EIRL"/>
    <x v="7"/>
    <s v="Antillanca"/>
    <s v="Nataly"/>
    <n v="408408"/>
    <n v="0"/>
    <n v="0"/>
    <s v="Transferencia"/>
    <s v="En Caja Operacional"/>
    <n v="71"/>
    <m/>
    <n v="408408"/>
    <n v="343200"/>
  </r>
  <r>
    <s v="Antillanca"/>
    <n v="221356"/>
    <d v="2025-12-31T08:48:30"/>
    <s v="77548407-1"/>
    <s v="COMERCIALIZADORA DE REPUESTOS DE VEHICULOS HERO SPA"/>
    <x v="7"/>
    <s v="Antillanca"/>
    <s v="Nataly"/>
    <n v="273906"/>
    <n v="0"/>
    <n v="0"/>
    <s v="Transferencia"/>
    <s v="En Caja Operacional"/>
    <n v="1"/>
    <m/>
    <n v="273906"/>
    <n v="230173.10924369749"/>
  </r>
  <r>
    <s v="Antillanca"/>
    <n v="221355"/>
    <d v="2025-12-31T08:45:02"/>
    <s v="77206072-6"/>
    <s v="AYALA RACING SPA"/>
    <x v="10"/>
    <s v="Antillanca"/>
    <s v="Nataly"/>
    <n v="159579"/>
    <n v="0"/>
    <n v="0"/>
    <s v="Transferencia"/>
    <s v="En Caja Operacional"/>
    <n v="1"/>
    <m/>
    <n v="159579"/>
    <n v="134100"/>
  </r>
  <r>
    <s v="Linares"/>
    <n v="221354"/>
    <d v="2025-12-30T18:05:57"/>
    <s v="66666666-6"/>
    <s v="Cliente LINARES Generico"/>
    <x v="1"/>
    <s v="Linares"/>
    <s v="Eduardo"/>
    <n v="6566"/>
    <n v="0"/>
    <n v="0"/>
    <s v="Efectivo"/>
    <s v="En Caja Operacional"/>
    <m/>
    <m/>
    <n v="6566"/>
    <n v="5517.6470588235297"/>
  </r>
  <r>
    <s v="Geronimo Mendez"/>
    <n v="221353"/>
    <d v="2025-12-30T17:56:16"/>
    <s v="77466910-8"/>
    <s v="INGENIERIA CARO Y CARO LIMITADA"/>
    <x v="11"/>
    <s v="Ventas Local"/>
    <s v="SoporteVenta"/>
    <n v="371389"/>
    <n v="0"/>
    <n v="0"/>
    <s v="D√©bito"/>
    <s v="En Caja Operacional"/>
    <n v="291667"/>
    <m/>
    <n v="371389"/>
    <n v="312091.59663865546"/>
  </r>
  <r>
    <s v="Linares"/>
    <n v="221352"/>
    <d v="2025-12-30T17:39:20"/>
    <s v="9262987-2"/>
    <s v="EDUARDO ENRIQUE PONCE"/>
    <x v="1"/>
    <s v="Linares"/>
    <s v="Eduardo"/>
    <n v="36351"/>
    <n v="0"/>
    <n v="0"/>
    <s v="Efectivo"/>
    <s v="En Caja Operacional"/>
    <m/>
    <m/>
    <n v="36351"/>
    <n v="30547.058823529413"/>
  </r>
  <r>
    <s v="Linares"/>
    <n v="221351"/>
    <d v="2025-12-30T17:31:48"/>
    <s v="66666666-6"/>
    <s v="Cliente LINARES Generico"/>
    <x v="1"/>
    <s v="Linares"/>
    <s v="Eduardo"/>
    <n v="31745"/>
    <n v="0"/>
    <n v="0"/>
    <s v="D√©bito"/>
    <s v="En Caja Operacional"/>
    <n v="310481"/>
    <m/>
    <n v="31745"/>
    <n v="26676.470588235294"/>
  </r>
  <r>
    <s v="Rojas Magallanes"/>
    <n v="221350"/>
    <d v="2025-12-30T17:13:38"/>
    <s v="77908171-0"/>
    <s v="TRANSPORTES Y LOGISTICA DON TEO LTDA"/>
    <x v="5"/>
    <s v="Rojas Magallanes"/>
    <s v="Marisol"/>
    <n v="66185"/>
    <n v="0"/>
    <n v="0"/>
    <s v="D√©bito"/>
    <s v="En Caja Operacional"/>
    <n v="10397"/>
    <m/>
    <n v="66185"/>
    <n v="55617.647058823532"/>
  </r>
  <r>
    <s v="Antillanca"/>
    <n v="221349"/>
    <d v="2025-12-30T16:55:07"/>
    <s v="77548407-1"/>
    <s v="COMERCIALIZADORA DE REPUESTOS DE VEHICULOS HERO SPA"/>
    <x v="7"/>
    <s v="Antillanca"/>
    <s v="Nataly"/>
    <n v="1500000"/>
    <n v="0"/>
    <n v="0"/>
    <s v="Cheque"/>
    <s v="En Caja Operacional"/>
    <n v="2512839"/>
    <d v="2026-03-20T00:00:00"/>
    <n v="500000"/>
    <n v="420168.06722689077"/>
  </r>
  <r>
    <s v="Antillanca"/>
    <n v="221349"/>
    <d v="2025-12-30T16:55:07"/>
    <s v="77548407-1"/>
    <s v="COMERCIALIZADORA DE REPUESTOS DE VEHICULOS HERO SPA"/>
    <x v="7"/>
    <s v="Antillanca"/>
    <s v="Nataly"/>
    <n v="1500000"/>
    <n v="0"/>
    <n v="0"/>
    <s v="Cheque"/>
    <s v="En Caja Operacional"/>
    <n v="2512838"/>
    <d v="2026-02-20T00:00:00"/>
    <n v="500000"/>
    <n v="420168.06722689077"/>
  </r>
  <r>
    <s v="Antillanca"/>
    <n v="221349"/>
    <d v="2025-12-30T16:55:07"/>
    <s v="77548407-1"/>
    <s v="COMERCIALIZADORA DE REPUESTOS DE VEHICULOS HERO SPA"/>
    <x v="7"/>
    <s v="Antillanca"/>
    <s v="Nataly"/>
    <n v="1500000"/>
    <n v="0"/>
    <n v="0"/>
    <s v="Cheque"/>
    <s v="En Caja Operacional"/>
    <n v="2512837"/>
    <d v="2026-01-20T00:00:00"/>
    <n v="500000"/>
    <n v="420168.06722689077"/>
  </r>
  <r>
    <s v="Antillanca"/>
    <n v="221348"/>
    <d v="2025-12-30T16:51:35"/>
    <s v="11972001-K"/>
    <s v="RIGOBERTO ANTONIO MORALES FLORES"/>
    <x v="12"/>
    <s v="Antillanca"/>
    <s v="Nataly"/>
    <n v="226445"/>
    <n v="0"/>
    <n v="0"/>
    <s v="Transferencia"/>
    <s v="En Caja Operacional"/>
    <n v="184"/>
    <m/>
    <n v="226445"/>
    <n v="190289.91596638656"/>
  </r>
  <r>
    <s v="Antillanca"/>
    <n v="221347"/>
    <d v="2025-12-30T16:47:58"/>
    <s v="76232717-1"/>
    <s v="LUBRICENTRO JUAN PABLO GALLARDO EIRL"/>
    <x v="7"/>
    <s v="Antillanca"/>
    <s v="Nataly"/>
    <n v="1148982"/>
    <n v="0"/>
    <n v="0"/>
    <s v="Transferencia"/>
    <s v="En Caja Operacional"/>
    <n v="367"/>
    <m/>
    <n v="1148982"/>
    <n v="965531.09243697487"/>
  </r>
  <r>
    <s v="Rojas Magallanes"/>
    <n v="221346"/>
    <d v="2025-12-30T16:41:32"/>
    <s v="13087134-8"/>
    <s v="Marisol S√°nchez"/>
    <x v="5"/>
    <s v="Rojas Magallanes"/>
    <s v="Marisol"/>
    <n v="26470"/>
    <n v="0"/>
    <n v="0"/>
    <s v="D√©bito"/>
    <s v="En Caja Operacional"/>
    <n v="805850"/>
    <m/>
    <n v="26470"/>
    <n v="22243.697478991598"/>
  </r>
  <r>
    <s v="Antillanca"/>
    <n v="221345"/>
    <d v="2025-12-30T16:36:01"/>
    <s v="6368730-8"/>
    <s v="ALONSO ENRIQUE"/>
    <x v="12"/>
    <s v="Antillanca"/>
    <s v="Nataly"/>
    <n v="651362"/>
    <n v="0"/>
    <n v="0"/>
    <s v="Cheque"/>
    <s v="En Caja Operacional"/>
    <n v="2097393"/>
    <d v="2026-01-08T00:00:00"/>
    <n v="325681"/>
    <n v="273681.51260504202"/>
  </r>
  <r>
    <s v="Antillanca"/>
    <n v="221345"/>
    <d v="2025-12-30T16:36:01"/>
    <s v="6368730-8"/>
    <s v="ALONSO ENRIQUE"/>
    <x v="12"/>
    <s v="Antillanca"/>
    <s v="Nataly"/>
    <n v="651362"/>
    <n v="0"/>
    <n v="0"/>
    <s v="Cheque"/>
    <s v="En Caja Operacional"/>
    <n v="2097392"/>
    <d v="2026-01-23T00:00:00"/>
    <n v="325681"/>
    <n v="273681.51260504202"/>
  </r>
  <r>
    <s v="Antillanca"/>
    <n v="221344"/>
    <d v="2025-12-30T16:33:57"/>
    <s v="8596625-1"/>
    <s v="CHRISTIAN DANIEL ORTEGA"/>
    <x v="12"/>
    <s v="Antillanca"/>
    <s v="Nataly"/>
    <n v="627996"/>
    <n v="0"/>
    <n v="0"/>
    <s v="Cheque"/>
    <s v="En Caja Operacional"/>
    <n v="5500157"/>
    <d v="2025-12-28T00:00:00"/>
    <n v="313998"/>
    <n v="263863.86554621853"/>
  </r>
  <r>
    <s v="Antillanca"/>
    <n v="221344"/>
    <d v="2025-12-30T16:33:57"/>
    <s v="8596625-1"/>
    <s v="CHRISTIAN DANIEL ORTEGA"/>
    <x v="12"/>
    <s v="Antillanca"/>
    <s v="Nataly"/>
    <n v="627996"/>
    <n v="0"/>
    <n v="0"/>
    <s v="Cheque"/>
    <s v="En Caja Operacional"/>
    <n v="5500158"/>
    <d v="2026-01-28T00:00:00"/>
    <n v="313998"/>
    <n v="263863.86554621853"/>
  </r>
  <r>
    <s v="Geronimo Mendez"/>
    <n v="221343"/>
    <d v="2025-12-30T16:25:40"/>
    <s v="66666666-6"/>
    <s v="Cliente GERONIMO MENDEZ Generico"/>
    <x v="8"/>
    <s v="Ventas Local"/>
    <s v="Maiko"/>
    <n v="25715"/>
    <n v="0"/>
    <n v="0"/>
    <s v="D√©bito"/>
    <s v="En Caja Operacional"/>
    <n v="510031"/>
    <m/>
    <n v="25715"/>
    <n v="21609.243697478993"/>
  </r>
  <r>
    <s v="Antillanca"/>
    <n v="221342"/>
    <d v="2025-12-30T16:22:48"/>
    <s v="78123103-7"/>
    <s v="REPUESTOS 68 SPA"/>
    <x v="7"/>
    <s v="Antillanca"/>
    <s v="Nataly"/>
    <n v="2304615"/>
    <n v="0"/>
    <n v="0"/>
    <s v="Cheque"/>
    <s v="En Caja Operacional"/>
    <n v="2683248"/>
    <d v="2026-01-23T00:00:00"/>
    <n v="438610"/>
    <n v="368579.83193277312"/>
  </r>
  <r>
    <s v="Antillanca"/>
    <n v="221342"/>
    <d v="2025-12-30T16:22:48"/>
    <s v="78123103-7"/>
    <s v="REPUESTOS 68 SPA"/>
    <x v="7"/>
    <s v="Antillanca"/>
    <s v="Nataly"/>
    <n v="2304615"/>
    <n v="0"/>
    <n v="0"/>
    <s v="Cheque"/>
    <s v="En Caja Operacional"/>
    <n v="2683249"/>
    <d v="2026-02-25T00:00:00"/>
    <n v="438610"/>
    <n v="368579.83193277312"/>
  </r>
  <r>
    <s v="Antillanca"/>
    <n v="221342"/>
    <d v="2025-12-30T16:22:48"/>
    <s v="78123103-7"/>
    <s v="REPUESTOS 68 SPA"/>
    <x v="7"/>
    <s v="Antillanca"/>
    <s v="Nataly"/>
    <n v="2304615"/>
    <n v="0"/>
    <n v="0"/>
    <s v="Cheque"/>
    <s v="En Caja Operacional"/>
    <n v="2683250"/>
    <d v="2026-02-26T00:00:00"/>
    <n v="438610"/>
    <n v="368579.83193277312"/>
  </r>
  <r>
    <s v="Antillanca"/>
    <n v="221342"/>
    <d v="2025-12-30T16:22:48"/>
    <s v="78123103-7"/>
    <s v="REPUESTOS 68 SPA"/>
    <x v="7"/>
    <s v="Antillanca"/>
    <s v="Nataly"/>
    <n v="2304615"/>
    <n v="0"/>
    <n v="0"/>
    <s v="Cheque"/>
    <s v="En Caja Operacional"/>
    <n v="2681065"/>
    <d v="2026-01-29T00:00:00"/>
    <n v="988785"/>
    <n v="830911.76470588241"/>
  </r>
  <r>
    <s v="Antillanca"/>
    <n v="221341"/>
    <d v="2025-12-30T16:15:35"/>
    <s v="4894668-2"/>
    <s v="JOSE NICOLAS BERDICEVSCHIO"/>
    <x v="7"/>
    <s v="Antillanca"/>
    <s v="Nataly"/>
    <n v="1749788"/>
    <n v="0"/>
    <n v="0"/>
    <s v="Cheque"/>
    <s v="En Caja Operacional"/>
    <n v="4054848"/>
    <d v="2025-12-09T00:00:00"/>
    <n v="437500"/>
    <n v="367647.05882352946"/>
  </r>
  <r>
    <s v="Antillanca"/>
    <n v="221341"/>
    <d v="2025-12-30T16:15:35"/>
    <s v="4894668-2"/>
    <s v="JOSE NICOLAS BERDICEVSCHIO"/>
    <x v="7"/>
    <s v="Antillanca"/>
    <s v="Nataly"/>
    <n v="1749788"/>
    <n v="0"/>
    <n v="0"/>
    <s v="Cheque"/>
    <s v="En Caja Operacional"/>
    <n v="4054849"/>
    <d v="2026-01-09T00:00:00"/>
    <n v="437500"/>
    <n v="367647.05882352946"/>
  </r>
  <r>
    <s v="Antillanca"/>
    <n v="221341"/>
    <d v="2025-12-30T16:15:35"/>
    <s v="4894668-2"/>
    <s v="JOSE NICOLAS BERDICEVSCHIO"/>
    <x v="7"/>
    <s v="Antillanca"/>
    <s v="Nataly"/>
    <n v="1749788"/>
    <n v="0"/>
    <n v="0"/>
    <s v="Cheque"/>
    <s v="En Caja Operacional"/>
    <n v="4054851"/>
    <d v="2026-02-09T00:00:00"/>
    <n v="437288"/>
    <n v="367468.90756302525"/>
  </r>
  <r>
    <s v="Antillanca"/>
    <n v="221341"/>
    <d v="2025-12-30T16:15:35"/>
    <s v="4894668-2"/>
    <s v="JOSE NICOLAS BERDICEVSCHIO"/>
    <x v="7"/>
    <s v="Antillanca"/>
    <s v="Nataly"/>
    <n v="1749788"/>
    <n v="0"/>
    <n v="0"/>
    <s v="Cheque"/>
    <s v="En Caja Operacional"/>
    <n v="4054850"/>
    <d v="2026-01-25T00:00:00"/>
    <n v="437500"/>
    <n v="367647.05882352946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37065"/>
    <d v="2026-02-25T00:00:00"/>
    <n v="465704"/>
    <n v="391347.89915966388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50226"/>
    <d v="2026-02-26T00:00:00"/>
    <n v="465704"/>
    <n v="391347.89915966388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37064"/>
    <d v="2026-01-29T00:00:00"/>
    <n v="465704"/>
    <n v="391347.89915966388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37062"/>
    <d v="2026-01-27T00:00:00"/>
    <n v="465704"/>
    <n v="391347.89915966388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37063"/>
    <d v="2026-01-28T00:00:00"/>
    <n v="465704"/>
    <n v="391347.89915966388"/>
  </r>
  <r>
    <s v="Antillanca"/>
    <n v="221340"/>
    <d v="2025-12-30T16:07:05"/>
    <s v="77529278-4"/>
    <s v="SOCIEDAD COMERCIAL ANDYAUTOS SPA"/>
    <x v="7"/>
    <s v="Antillanca"/>
    <s v="Nataly"/>
    <n v="2794224"/>
    <n v="0"/>
    <n v="0"/>
    <s v="Cheque"/>
    <s v="En Caja Operacional"/>
    <n v="7937061"/>
    <d v="2025-12-28T00:00:00"/>
    <n v="465704"/>
    <n v="391347.89915966388"/>
  </r>
  <r>
    <s v="Ovalle"/>
    <n v="221339"/>
    <d v="2025-12-30T15:58:22"/>
    <s v="66666666-6"/>
    <s v="Cliente OVALLE Generico"/>
    <x v="6"/>
    <s v="Ovalle"/>
    <s v="Emilio"/>
    <n v="30965"/>
    <n v="0"/>
    <n v="0"/>
    <s v="D√©bito"/>
    <s v="En Caja Operacional"/>
    <n v="740221"/>
    <m/>
    <n v="30965"/>
    <n v="26021.008403361346"/>
  </r>
  <r>
    <s v="Antillanca"/>
    <n v="221339"/>
    <d v="2025-12-30T15:58:21"/>
    <s v="8958521-K"/>
    <s v="LUIS FRANCISCO MELLA"/>
    <x v="12"/>
    <s v="Antillanca"/>
    <s v="Nataly"/>
    <n v="193054"/>
    <n v="0"/>
    <n v="0"/>
    <s v="Cheque"/>
    <s v="En Caja Operacional"/>
    <n v="5207493"/>
    <d v="2026-01-18T00:00:00"/>
    <n v="96527"/>
    <n v="81115.126050420178"/>
  </r>
  <r>
    <s v="Antillanca"/>
    <n v="221339"/>
    <d v="2025-12-30T15:58:21"/>
    <s v="8958521-K"/>
    <s v="LUIS FRANCISCO MELLA"/>
    <x v="12"/>
    <s v="Antillanca"/>
    <s v="Nataly"/>
    <n v="193054"/>
    <n v="0"/>
    <n v="0"/>
    <s v="Cheque"/>
    <s v="En Caja Operacional"/>
    <n v="5207491"/>
    <d v="2025-12-22T00:00:00"/>
    <n v="96527"/>
    <n v="81115.126050420178"/>
  </r>
  <r>
    <s v="Antillanca"/>
    <n v="221338"/>
    <d v="2025-12-30T15:55:19"/>
    <s v="51054270-3"/>
    <s v="IVES GUNTHER ROBERT STEWART Y OTRO"/>
    <x v="12"/>
    <s v="Antillanca"/>
    <s v="Nataly"/>
    <n v="473486"/>
    <n v="0"/>
    <n v="0"/>
    <s v="Cheque"/>
    <s v="En Caja Operacional"/>
    <n v="1221"/>
    <d v="2025-11-30T00:00:00"/>
    <n v="230000"/>
    <n v="193277.31092436975"/>
  </r>
  <r>
    <s v="Antillanca"/>
    <n v="221338"/>
    <d v="2025-12-30T15:55:19"/>
    <s v="51054270-3"/>
    <s v="IVES GUNTHER ROBERT STEWART Y OTRO"/>
    <x v="12"/>
    <s v="Antillanca"/>
    <s v="Nataly"/>
    <n v="473486"/>
    <n v="0"/>
    <n v="0"/>
    <s v="Cheque"/>
    <s v="En Caja Operacional"/>
    <n v="1222"/>
    <d v="2025-12-30T00:00:00"/>
    <n v="243486"/>
    <n v="204610.08403361344"/>
  </r>
  <r>
    <s v="Antillanca"/>
    <n v="221337"/>
    <d v="2025-12-30T15:47:02"/>
    <s v="6889132-9"/>
    <s v="CLAUDIO MARCELO VERA SAAVEDRA"/>
    <x v="12"/>
    <s v="Antillanca"/>
    <s v="Nataly"/>
    <n v="195775"/>
    <n v="0"/>
    <n v="0"/>
    <s v="Cheque"/>
    <s v="En Caja Operacional"/>
    <n v="2287244"/>
    <d v="2025-12-22T00:00:00"/>
    <n v="95775"/>
    <n v="80483.193277310929"/>
  </r>
  <r>
    <s v="Antillanca"/>
    <n v="221337"/>
    <d v="2025-12-30T15:47:02"/>
    <s v="6889132-9"/>
    <s v="CLAUDIO MARCELO VERA SAAVEDRA"/>
    <x v="12"/>
    <s v="Antillanca"/>
    <s v="Nataly"/>
    <n v="195775"/>
    <n v="0"/>
    <n v="0"/>
    <s v="Cheque"/>
    <s v="En Caja Operacional"/>
    <n v="2287245"/>
    <d v="2025-12-27T00:00:00"/>
    <n v="100000"/>
    <n v="84033.613445378156"/>
  </r>
  <r>
    <s v="Antillanca"/>
    <n v="221336"/>
    <d v="2025-12-30T15:44:16"/>
    <s v="5020754-4"/>
    <s v="OVIDIO MORALES"/>
    <x v="12"/>
    <s v="Antillanca"/>
    <s v="Nataly"/>
    <n v="236812"/>
    <n v="0"/>
    <n v="0"/>
    <s v="Cheque"/>
    <s v="En Caja Operacional"/>
    <n v="2375624"/>
    <d v="2025-12-29T00:00:00"/>
    <n v="118406"/>
    <n v="99500.840336134454"/>
  </r>
  <r>
    <s v="Antillanca"/>
    <n v="221336"/>
    <d v="2025-12-30T15:44:16"/>
    <s v="5020754-4"/>
    <s v="OVIDIO MORALES"/>
    <x v="12"/>
    <s v="Antillanca"/>
    <s v="Nataly"/>
    <n v="236812"/>
    <n v="0"/>
    <n v="0"/>
    <s v="Cheque"/>
    <s v="En Caja Operacional"/>
    <n v="2461594"/>
    <d v="2025-12-29T00:00:00"/>
    <n v="118406"/>
    <n v="99500.840336134454"/>
  </r>
  <r>
    <s v="Antillanca"/>
    <n v="221335"/>
    <d v="2025-12-30T15:40:40"/>
    <s v="77726515-6"/>
    <s v="COMERCIAL COMALI SPA"/>
    <x v="12"/>
    <s v="Antillanca"/>
    <s v="Nataly"/>
    <n v="96554"/>
    <n v="0"/>
    <n v="0"/>
    <s v="Cheque"/>
    <s v="En Caja Operacional"/>
    <n v="2448"/>
    <d v="2026-01-01T00:00:00"/>
    <n v="96554"/>
    <n v="81137.815126050424"/>
  </r>
  <r>
    <s v="Antillanca"/>
    <n v="221334"/>
    <d v="2025-12-30T15:38:06"/>
    <s v="14724817-2"/>
    <s v="GUIDO RUBEN BUSTOS"/>
    <x v="12"/>
    <s v="Antillanca"/>
    <s v="Nataly"/>
    <n v="473625"/>
    <n v="0"/>
    <n v="0"/>
    <s v="Cheque"/>
    <s v="En Caja Operacional"/>
    <n v="211006"/>
    <d v="2026-02-14T00:00:00"/>
    <n v="473625"/>
    <n v="398004.2016806723"/>
  </r>
  <r>
    <s v="Antillanca"/>
    <n v="221333"/>
    <d v="2025-12-30T15:35:00"/>
    <s v="7772579-2"/>
    <s v="JOSE MIGUEL  FUENTES"/>
    <x v="9"/>
    <s v="Antillanca"/>
    <s v="Nataly"/>
    <n v="332498"/>
    <n v="0"/>
    <n v="0"/>
    <s v="Transferencia"/>
    <s v="En Caja Operacional"/>
    <n v="356"/>
    <m/>
    <n v="332498"/>
    <n v="279410.08403361344"/>
  </r>
  <r>
    <s v="Geronimo Mendez"/>
    <n v="221332"/>
    <d v="2025-12-30T15:29:01"/>
    <s v="66666666-6"/>
    <s v="Cliente GERONIMO MENDEZ Generico"/>
    <x v="8"/>
    <s v="Ventas Local"/>
    <s v="Maiko"/>
    <n v="68730"/>
    <n v="0"/>
    <n v="0"/>
    <s v="Cr√©dito"/>
    <s v="En Caja Operacional"/>
    <n v="380323"/>
    <m/>
    <n v="68730"/>
    <n v="57756.302521008409"/>
  </r>
  <r>
    <s v="Linares"/>
    <n v="221331"/>
    <d v="2025-12-30T15:22:05"/>
    <s v="9262987-2"/>
    <s v="EDUARDO ENRIQUE PONCE"/>
    <x v="1"/>
    <s v="Linares"/>
    <s v="Eduardo"/>
    <n v="50300"/>
    <n v="0"/>
    <n v="233"/>
    <s v="D√©bito"/>
    <s v="En Caja Operacional"/>
    <n v="608016"/>
    <m/>
    <n v="50300"/>
    <n v="42268.907563025212"/>
  </r>
  <r>
    <s v="Geronimo Mendez"/>
    <n v="221330"/>
    <d v="2025-12-30T15:09:42"/>
    <s v="76351116-2"/>
    <s v="TRANSPORTES BRASNO LIMITADA"/>
    <x v="8"/>
    <s v="Ventas Local"/>
    <s v="SoporteVenta"/>
    <n v="14994"/>
    <n v="0"/>
    <n v="0"/>
    <s v="Transferencia"/>
    <s v="En Caja Operacional"/>
    <n v="368"/>
    <m/>
    <n v="14994"/>
    <n v="12600"/>
  </r>
  <r>
    <s v="Ovalle"/>
    <n v="221329"/>
    <d v="2025-12-30T14:55:35"/>
    <s v="16111075-2"/>
    <s v="WILLIAM EDUARDO CONTRERAS"/>
    <x v="6"/>
    <s v="Ovalle"/>
    <s v="Emilio"/>
    <n v="422246"/>
    <n v="0"/>
    <n v="1"/>
    <s v="D√©bito"/>
    <s v="En Caja Operacional"/>
    <n v="428620"/>
    <m/>
    <n v="211123"/>
    <n v="177414.28571428571"/>
  </r>
  <r>
    <s v="Ovalle"/>
    <n v="221329"/>
    <d v="2025-12-30T14:55:35"/>
    <s v="16111075-2"/>
    <s v="WILLIAM EDUARDO CONTRERAS"/>
    <x v="6"/>
    <s v="Ovalle"/>
    <s v="Emilio"/>
    <n v="422246"/>
    <n v="0"/>
    <n v="1"/>
    <s v="Cheque"/>
    <s v="En Caja Operacional"/>
    <n v="4572885"/>
    <d v="2026-02-15T00:00:00"/>
    <n v="211123"/>
    <n v="177414.28571428571"/>
  </r>
  <r>
    <s v="Ovalle"/>
    <n v="221328"/>
    <d v="2025-12-30T14:51:29"/>
    <s v="9049789-8"/>
    <s v="ORLANDO ARAYA"/>
    <x v="6"/>
    <s v="Ovalle"/>
    <s v="Emilio"/>
    <n v="91707"/>
    <n v="0"/>
    <n v="0"/>
    <s v="D√©bito"/>
    <s v="En Caja Operacional"/>
    <n v="501260"/>
    <m/>
    <n v="91707"/>
    <n v="77064.705882352951"/>
  </r>
  <r>
    <s v="Antillanca"/>
    <n v="221327"/>
    <d v="2025-12-30T14:50:28"/>
    <s v="77609238-K"/>
    <s v="IMPORTACIONES EXPORTACIONES SEVIAUTOS SPA"/>
    <x v="12"/>
    <s v="Antillanca"/>
    <s v="Nataly"/>
    <n v="544432"/>
    <n v="0"/>
    <n v="1"/>
    <s v="Cheque"/>
    <s v="En Caja Operacional"/>
    <n v="2496800"/>
    <d v="2026-01-26T00:00:00"/>
    <n v="272216"/>
    <n v="228752.9411764706"/>
  </r>
  <r>
    <s v="Antillanca"/>
    <n v="221327"/>
    <d v="2025-12-30T14:50:28"/>
    <s v="77609238-K"/>
    <s v="IMPORTACIONES EXPORTACIONES SEVIAUTOS SPA"/>
    <x v="12"/>
    <s v="Antillanca"/>
    <s v="Nataly"/>
    <n v="544432"/>
    <n v="0"/>
    <n v="1"/>
    <s v="Cheque"/>
    <s v="En Caja Operacional"/>
    <n v="2496789"/>
    <d v="2025-12-26T00:00:00"/>
    <n v="272216"/>
    <n v="228752.9411764706"/>
  </r>
  <r>
    <s v="Antillanca"/>
    <n v="221326"/>
    <d v="2025-12-30T14:46:23"/>
    <s v="76170007-3"/>
    <s v="SOCIEDAD COMERCIAL SERVIT LIMITADA"/>
    <x v="12"/>
    <s v="Antillanca"/>
    <s v="Nataly"/>
    <n v="859666"/>
    <n v="0"/>
    <n v="0"/>
    <s v="Cheque"/>
    <s v="En Caja Operacional"/>
    <n v="6898602"/>
    <d v="2026-01-21T00:00:00"/>
    <n v="286555"/>
    <n v="240802.52100840336"/>
  </r>
  <r>
    <s v="Antillanca"/>
    <n v="221326"/>
    <d v="2025-12-30T14:46:23"/>
    <s v="76170007-3"/>
    <s v="SOCIEDAD COMERCIAL SERVIT LIMITADA"/>
    <x v="12"/>
    <s v="Antillanca"/>
    <s v="Nataly"/>
    <n v="859666"/>
    <n v="0"/>
    <n v="0"/>
    <s v="Cheque"/>
    <s v="En Caja Operacional"/>
    <n v="6898603"/>
    <d v="2026-02-21T00:00:00"/>
    <n v="286556"/>
    <n v="240803.36134453781"/>
  </r>
  <r>
    <s v="Antillanca"/>
    <n v="221326"/>
    <d v="2025-12-30T14:46:23"/>
    <s v="76170007-3"/>
    <s v="SOCIEDAD COMERCIAL SERVIT LIMITADA"/>
    <x v="12"/>
    <s v="Antillanca"/>
    <s v="Nataly"/>
    <n v="859666"/>
    <n v="0"/>
    <n v="0"/>
    <s v="Cheque"/>
    <s v="En Caja Operacional"/>
    <n v="6898601"/>
    <d v="2025-12-21T00:00:00"/>
    <n v="286555"/>
    <n v="240802.52100840336"/>
  </r>
  <r>
    <s v="Antillanca"/>
    <n v="221325"/>
    <d v="2025-12-30T14:41:28"/>
    <s v="13808328-4"/>
    <s v="JORGE ANTONIO ARRIAGADA"/>
    <x v="9"/>
    <s v="Antillanca"/>
    <s v="Nataly"/>
    <n v="2350557"/>
    <n v="0"/>
    <n v="0"/>
    <s v="Cheque"/>
    <s v="En Caja Operacional"/>
    <n v="5764758"/>
    <d v="2026-03-25T00:00:00"/>
    <n v="790557"/>
    <n v="664333.61344537814"/>
  </r>
  <r>
    <s v="Antillanca"/>
    <n v="221325"/>
    <d v="2025-12-30T14:41:28"/>
    <s v="13808328-4"/>
    <s v="JORGE ANTONIO ARRIAGADA"/>
    <x v="9"/>
    <s v="Antillanca"/>
    <s v="Nataly"/>
    <n v="2350557"/>
    <n v="0"/>
    <n v="0"/>
    <s v="Cheque"/>
    <s v="En Caja Operacional"/>
    <n v="5764757"/>
    <d v="2026-02-25T00:00:00"/>
    <n v="780000"/>
    <n v="655462.18487394962"/>
  </r>
  <r>
    <s v="Antillanca"/>
    <n v="221325"/>
    <d v="2025-12-30T14:41:28"/>
    <s v="13808328-4"/>
    <s v="JORGE ANTONIO ARRIAGADA"/>
    <x v="9"/>
    <s v="Antillanca"/>
    <s v="Nataly"/>
    <n v="2350557"/>
    <n v="0"/>
    <n v="0"/>
    <s v="Cheque"/>
    <s v="En Caja Operacional"/>
    <n v="5764756"/>
    <d v="2026-01-25T00:00:00"/>
    <n v="780000"/>
    <n v="655462.18487394962"/>
  </r>
  <r>
    <s v="Antillanca"/>
    <n v="221324"/>
    <d v="2025-12-30T14:37:31"/>
    <s v="76310505-9"/>
    <s v="SMC SANTIAGO MOTOR COACH SPA"/>
    <x v="13"/>
    <s v="Antillanca"/>
    <s v="Nataly"/>
    <n v="5001763"/>
    <n v="0"/>
    <n v="28174"/>
    <s v="Cheque"/>
    <s v="En Caja Operacional"/>
    <n v="3261"/>
    <d v="2025-12-29T00:00:00"/>
    <n v="1670000"/>
    <n v="1403361.3445378151"/>
  </r>
  <r>
    <s v="Antillanca"/>
    <n v="221324"/>
    <d v="2025-12-30T14:37:31"/>
    <s v="76310505-9"/>
    <s v="SMC SANTIAGO MOTOR COACH SPA"/>
    <x v="13"/>
    <s v="Antillanca"/>
    <s v="Nataly"/>
    <n v="5001763"/>
    <n v="0"/>
    <n v="28174"/>
    <s v="Cheque"/>
    <s v="En Caja Operacional"/>
    <n v="3262"/>
    <d v="2026-01-29T00:00:00"/>
    <n v="1660000"/>
    <n v="1394957.9831932774"/>
  </r>
  <r>
    <s v="Antillanca"/>
    <n v="221324"/>
    <d v="2025-12-30T14:37:31"/>
    <s v="76310505-9"/>
    <s v="SMC SANTIAGO MOTOR COACH SPA"/>
    <x v="13"/>
    <s v="Antillanca"/>
    <s v="Nataly"/>
    <n v="5001763"/>
    <n v="0"/>
    <n v="28174"/>
    <s v="Cheque"/>
    <s v="En Caja Operacional"/>
    <n v="3263"/>
    <d v="2026-02-28T00:00:00"/>
    <n v="1671763"/>
    <n v="1404842.8571428573"/>
  </r>
  <r>
    <s v="Antillanca"/>
    <n v="221323"/>
    <d v="2025-12-30T14:31:28"/>
    <s v="13090423-8"/>
    <s v="CARLOS ANTONIO ARIAS"/>
    <x v="3"/>
    <s v="Antillanca"/>
    <s v="Nataly"/>
    <n v="533347"/>
    <n v="0"/>
    <n v="0"/>
    <s v="Transferencia"/>
    <s v="En Caja Operacional"/>
    <n v="365"/>
    <m/>
    <n v="533347"/>
    <n v="448190.75630252104"/>
  </r>
  <r>
    <s v="Antillanca"/>
    <n v="221322"/>
    <d v="2025-12-30T14:28:45"/>
    <s v="13704767-5"/>
    <s v="PATRICIO HERNAN HUICHAL"/>
    <x v="3"/>
    <s v="Antillanca"/>
    <s v="Nataly"/>
    <n v="1000000"/>
    <n v="0"/>
    <n v="0"/>
    <s v="Transferencia"/>
    <s v="En Caja Operacional"/>
    <n v="362"/>
    <m/>
    <n v="1000000"/>
    <n v="840336.13445378153"/>
  </r>
  <r>
    <s v="Antillanca"/>
    <n v="221321"/>
    <d v="2025-12-30T14:19:44"/>
    <s v="77476564-6"/>
    <s v="MT SPA"/>
    <x v="9"/>
    <s v="Antillanca"/>
    <s v="Nataly"/>
    <n v="168333"/>
    <n v="0"/>
    <n v="0"/>
    <s v="Transferencia"/>
    <s v="En Caja Operacional"/>
    <n v="363"/>
    <m/>
    <n v="40817"/>
    <n v="34300"/>
  </r>
  <r>
    <s v="Antillanca"/>
    <n v="221321"/>
    <d v="2025-12-30T14:19:44"/>
    <s v="77476564-6"/>
    <s v="MT SPA"/>
    <x v="9"/>
    <s v="Antillanca"/>
    <s v="Nataly"/>
    <n v="168333"/>
    <n v="0"/>
    <n v="0"/>
    <s v="Transferencia"/>
    <s v="En Caja Operacional"/>
    <n v="364"/>
    <m/>
    <n v="127516"/>
    <n v="107156.3025210084"/>
  </r>
  <r>
    <s v="Antillanca"/>
    <n v="221320"/>
    <d v="2025-12-30T14:16:44"/>
    <s v="77993014-9"/>
    <s v="LUBRICENTRO GMP MOTORS SPA"/>
    <x v="10"/>
    <s v="Antillanca"/>
    <s v="Nataly"/>
    <n v="146894"/>
    <n v="0"/>
    <n v="0"/>
    <s v="Transferencia"/>
    <s v="En Caja Operacional"/>
    <n v="59"/>
    <m/>
    <n v="146894"/>
    <n v="123440.33613445378"/>
  </r>
  <r>
    <s v="Antillanca"/>
    <n v="221319"/>
    <d v="2025-12-30T14:14:55"/>
    <s v="77586069-3"/>
    <s v="EMPRESA ESCOBAR E HIJOS SPA"/>
    <x v="9"/>
    <s v="Antillanca"/>
    <s v="Nataly"/>
    <n v="700000"/>
    <n v="0"/>
    <n v="0"/>
    <s v="Efectivo"/>
    <s v="En Caja Operacional"/>
    <m/>
    <m/>
    <n v="700000"/>
    <n v="588235.29411764711"/>
  </r>
  <r>
    <s v="Antillanca"/>
    <n v="221318"/>
    <d v="2025-12-30T14:12:43"/>
    <s v="77993014-9"/>
    <s v="LUBRICENTRO GMP MOTORS SPA"/>
    <x v="10"/>
    <s v="Antillanca"/>
    <s v="Nataly"/>
    <n v="127516"/>
    <n v="0"/>
    <n v="0"/>
    <s v="Transferencia"/>
    <s v="En Caja Operacional"/>
    <n v="251"/>
    <m/>
    <n v="127516"/>
    <n v="107156.3025210084"/>
  </r>
  <r>
    <s v="Antillanca"/>
    <n v="221317"/>
    <d v="2025-12-30T14:09:06"/>
    <s v="77695488-8"/>
    <s v="LUBRICENTRO MUNOZ HERMANOS SPA"/>
    <x v="12"/>
    <s v="Antillanca"/>
    <s v="Nataly"/>
    <n v="186827"/>
    <n v="0"/>
    <n v="0"/>
    <s v="Transferencia"/>
    <s v="En Caja Operacional"/>
    <n v="199"/>
    <m/>
    <n v="186827"/>
    <n v="156997.47899159664"/>
  </r>
  <r>
    <s v="Antillanca"/>
    <n v="221316"/>
    <d v="2025-12-30T14:07:03"/>
    <s v="78837550-6"/>
    <s v="SERVICIOS MANTENCION Y TRANSPORTE LTDA"/>
    <x v="13"/>
    <s v="Antillanca"/>
    <s v="Nataly"/>
    <n v="591589"/>
    <n v="0"/>
    <n v="0"/>
    <s v="Transferencia"/>
    <s v="En Caja Operacional"/>
    <n v="197"/>
    <m/>
    <n v="591589"/>
    <n v="497133.6134453782"/>
  </r>
  <r>
    <s v="Rojas Magallanes"/>
    <n v="221315"/>
    <d v="2025-12-30T13:38:35"/>
    <s v="76495857-8"/>
    <s v="AUTO MOTO REPUESTOS LIMITADA"/>
    <x v="5"/>
    <s v="Rojas Magallanes"/>
    <s v="Marisol"/>
    <n v="58420"/>
    <n v="0"/>
    <n v="1"/>
    <s v="Efectivo"/>
    <s v="En Caja Operacional"/>
    <m/>
    <m/>
    <n v="58420"/>
    <n v="49092.436974789918"/>
  </r>
  <r>
    <s v="Geronimo Mendez"/>
    <n v="221314"/>
    <d v="2025-12-30T13:26:04"/>
    <s v="10351653-6"/>
    <s v="VICENTE ALBARNEZ"/>
    <x v="0"/>
    <s v="Contraloria"/>
    <s v="Selene"/>
    <n v="5862990"/>
    <n v="0"/>
    <n v="0"/>
    <s v="Cheque"/>
    <s v="En Caja Operacional"/>
    <n v="5181702"/>
    <d v="2026-01-30T00:00:00"/>
    <n v="1500000"/>
    <n v="1260504.2016806724"/>
  </r>
  <r>
    <s v="Geronimo Mendez"/>
    <n v="221314"/>
    <d v="2025-12-30T13:26:04"/>
    <s v="10351653-6"/>
    <s v="VICENTE ALBARNEZ"/>
    <x v="0"/>
    <s v="Contraloria"/>
    <s v="Selene"/>
    <n v="5862990"/>
    <n v="0"/>
    <n v="0"/>
    <s v="Cheque"/>
    <s v="En Caja Operacional"/>
    <n v="5181704"/>
    <d v="2026-03-31T00:00:00"/>
    <n v="1500000"/>
    <n v="1260504.2016806724"/>
  </r>
  <r>
    <s v="Geronimo Mendez"/>
    <n v="221314"/>
    <d v="2025-12-30T13:26:04"/>
    <s v="10351653-6"/>
    <s v="VICENTE ALBARNEZ"/>
    <x v="0"/>
    <s v="Contraloria"/>
    <s v="Selene"/>
    <n v="5862990"/>
    <n v="0"/>
    <n v="0"/>
    <s v="Cheque"/>
    <s v="En Caja Operacional"/>
    <n v="5181705"/>
    <d v="2026-04-20T00:00:00"/>
    <n v="1362990"/>
    <n v="1145369.7478991598"/>
  </r>
  <r>
    <s v="Geronimo Mendez"/>
    <n v="221314"/>
    <d v="2025-12-30T13:26:04"/>
    <s v="10351653-6"/>
    <s v="VICENTE ALBARNEZ"/>
    <x v="0"/>
    <s v="Contraloria"/>
    <s v="Selene"/>
    <n v="5862990"/>
    <n v="0"/>
    <n v="0"/>
    <s v="Cheque"/>
    <s v="En Caja Operacional"/>
    <n v="5181703"/>
    <d v="2026-03-28T00:00:00"/>
    <n v="1500000"/>
    <n v="1260504.2016806724"/>
  </r>
  <r>
    <s v="Linares"/>
    <n v="221313"/>
    <d v="2025-12-30T13:22:42"/>
    <s v="66666666-6"/>
    <s v="Cliente LINARES Generico"/>
    <x v="1"/>
    <s v="Linares"/>
    <s v="Eduardo"/>
    <n v="109315"/>
    <n v="0"/>
    <n v="0"/>
    <s v="D√©bito"/>
    <s v="En Caja Operacional"/>
    <n v="469275"/>
    <m/>
    <n v="109315"/>
    <n v="91861.344537815137"/>
  </r>
  <r>
    <s v="Geronimo Mendez"/>
    <n v="221312"/>
    <d v="2025-12-30T13:21:30"/>
    <s v="14115831-7"/>
    <s v="ROBERTO ALVAREZ"/>
    <x v="4"/>
    <s v="Contraloria"/>
    <s v="Selene"/>
    <n v="354262"/>
    <n v="0"/>
    <n v="0"/>
    <s v="Cheque"/>
    <s v="En Caja Operacional"/>
    <n v="9328683"/>
    <d v="2026-01-22T00:00:00"/>
    <n v="354262"/>
    <n v="297699.15966386558"/>
  </r>
  <r>
    <s v="Geronimo Mendez"/>
    <n v="221311"/>
    <d v="2025-12-30T13:19:34"/>
    <s v="11537174-6"/>
    <s v="JUAN CARTES"/>
    <x v="4"/>
    <s v="Contraloria"/>
    <s v="Selene"/>
    <n v="627608"/>
    <n v="0"/>
    <n v="0"/>
    <s v="Cheque"/>
    <s v="En Caja Operacional"/>
    <n v="2432238"/>
    <d v="2026-01-17T00:00:00"/>
    <n v="327608"/>
    <n v="275300.84033613448"/>
  </r>
  <r>
    <s v="Geronimo Mendez"/>
    <n v="221311"/>
    <d v="2025-12-30T13:19:34"/>
    <s v="11537174-6"/>
    <s v="JUAN CARTES"/>
    <x v="4"/>
    <s v="Contraloria"/>
    <s v="Selene"/>
    <n v="627608"/>
    <n v="0"/>
    <n v="0"/>
    <s v="Cheque"/>
    <s v="En Caja Operacional"/>
    <n v="2432239"/>
    <d v="2026-02-17T00:00:00"/>
    <n v="300000"/>
    <n v="252100.84033613445"/>
  </r>
  <r>
    <s v="Linares"/>
    <n v="221310"/>
    <d v="2025-12-30T13:14:13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Geronimo Mendez"/>
    <n v="221309"/>
    <d v="2025-12-30T13:08:37"/>
    <s v="79821120-K"/>
    <s v="INVERSIONES ATACAMA LTDA."/>
    <x v="4"/>
    <s v="Contraloria"/>
    <s v="Selene"/>
    <n v="1194487"/>
    <n v="0"/>
    <n v="0"/>
    <s v="Cheque"/>
    <s v="En Caja Operacional"/>
    <n v="9356088"/>
    <d v="2026-01-17T00:00:00"/>
    <n v="1194487"/>
    <n v="1003770.5882352942"/>
  </r>
  <r>
    <s v="Geronimo Mendez"/>
    <n v="221308"/>
    <d v="2025-12-30T13:06:56"/>
    <s v="76907317-5"/>
    <s v="COMERCIAL MICHAEL FLORES CABRERA E.I.R.L"/>
    <x v="4"/>
    <s v="Contraloria"/>
    <s v="Selene"/>
    <n v="1479610"/>
    <n v="0"/>
    <n v="0"/>
    <s v="Cheque"/>
    <s v="En Caja Operacional"/>
    <n v="9488351"/>
    <d v="2026-02-26T00:00:00"/>
    <n v="740000"/>
    <n v="621848.73949579836"/>
  </r>
  <r>
    <s v="Geronimo Mendez"/>
    <n v="221308"/>
    <d v="2025-12-30T13:06:56"/>
    <s v="76907317-5"/>
    <s v="COMERCIAL MICHAEL FLORES CABRERA E.I.R.L"/>
    <x v="4"/>
    <s v="Contraloria"/>
    <s v="Selene"/>
    <n v="1479610"/>
    <n v="0"/>
    <n v="0"/>
    <s v="Cheque"/>
    <s v="En Caja Operacional"/>
    <n v="9488352"/>
    <d v="2026-03-30T00:00:00"/>
    <n v="739610"/>
    <n v="621521.00840336143"/>
  </r>
  <r>
    <s v="Geronimo Mendez"/>
    <n v="221307"/>
    <d v="2025-12-30T13:05:14"/>
    <s v="5588746-2"/>
    <s v="CORNELIO ARAYA"/>
    <x v="4"/>
    <s v="Contraloria"/>
    <s v="Selene"/>
    <n v="4061093"/>
    <n v="0"/>
    <n v="0"/>
    <s v="Cheque"/>
    <s v="En Caja Operacional"/>
    <n v="1943068"/>
    <d v="2026-01-09T00:00:00"/>
    <n v="812219"/>
    <n v="682536.97478991596"/>
  </r>
  <r>
    <s v="Geronimo Mendez"/>
    <n v="221307"/>
    <d v="2025-12-30T13:05:14"/>
    <s v="5588746-2"/>
    <s v="CORNELIO ARAYA"/>
    <x v="4"/>
    <s v="Contraloria"/>
    <s v="Selene"/>
    <n v="4061093"/>
    <n v="0"/>
    <n v="0"/>
    <s v="Cheque"/>
    <s v="En Caja Operacional"/>
    <n v="1943069"/>
    <d v="2026-01-26T00:00:00"/>
    <n v="812219"/>
    <n v="682536.97478991596"/>
  </r>
  <r>
    <s v="Geronimo Mendez"/>
    <n v="221307"/>
    <d v="2025-12-30T13:05:14"/>
    <s v="5588746-2"/>
    <s v="CORNELIO ARAYA"/>
    <x v="4"/>
    <s v="Contraloria"/>
    <s v="Selene"/>
    <n v="4061093"/>
    <n v="0"/>
    <n v="0"/>
    <s v="Cheque"/>
    <s v="En Caja Operacional"/>
    <n v="1943070"/>
    <d v="2026-02-09T00:00:00"/>
    <n v="812219"/>
    <n v="682536.97478991596"/>
  </r>
  <r>
    <s v="Geronimo Mendez"/>
    <n v="221307"/>
    <d v="2025-12-30T13:05:14"/>
    <s v="5588746-2"/>
    <s v="CORNELIO ARAYA"/>
    <x v="4"/>
    <s v="Contraloria"/>
    <s v="Selene"/>
    <n v="4061093"/>
    <n v="0"/>
    <n v="0"/>
    <s v="Cheque"/>
    <s v="En Caja Operacional"/>
    <n v="1943071"/>
    <d v="2026-02-26T00:00:00"/>
    <n v="812219"/>
    <n v="682536.97478991596"/>
  </r>
  <r>
    <s v="Geronimo Mendez"/>
    <n v="221307"/>
    <d v="2025-12-30T13:05:14"/>
    <s v="5588746-2"/>
    <s v="CORNELIO ARAYA"/>
    <x v="4"/>
    <s v="Contraloria"/>
    <s v="Selene"/>
    <n v="4061093"/>
    <n v="0"/>
    <n v="0"/>
    <s v="Cheque"/>
    <s v="En Caja Operacional"/>
    <n v="1943072"/>
    <d v="2026-03-13T00:00:00"/>
    <n v="812217"/>
    <n v="682535.29411764711"/>
  </r>
  <r>
    <s v="Geronimo Mendez"/>
    <n v="221306"/>
    <d v="2025-12-30T13:00:00"/>
    <s v="77124167-0"/>
    <s v="MECPARTS SPA"/>
    <x v="8"/>
    <s v="Ventas Local"/>
    <s v="Maiko"/>
    <n v="29197"/>
    <n v="0"/>
    <n v="0"/>
    <s v="D√©bito"/>
    <s v="En Caja Operacional"/>
    <n v="673286"/>
    <m/>
    <n v="29197"/>
    <n v="24535.294117647059"/>
  </r>
  <r>
    <s v="Linares"/>
    <n v="221305"/>
    <d v="2025-12-30T12:52:48"/>
    <s v="66666666-6"/>
    <s v="Cliente LINARES Generico"/>
    <x v="1"/>
    <s v="Linares"/>
    <s v="Eduardo"/>
    <n v="79894"/>
    <n v="0"/>
    <n v="0"/>
    <s v="D√©bito"/>
    <s v="En Caja Operacional"/>
    <n v="248082"/>
    <m/>
    <n v="79894"/>
    <n v="67137.815126050424"/>
  </r>
  <r>
    <s v="Rojas Magallanes"/>
    <n v="221304"/>
    <d v="2025-12-30T12:50:22"/>
    <s v="76495857-8"/>
    <s v="AUTO MOTO REPUESTOS LIMITADA"/>
    <x v="5"/>
    <s v="Rojas Magallanes"/>
    <s v="Cristian"/>
    <n v="71552"/>
    <n v="0"/>
    <n v="0"/>
    <s v="D√©bito"/>
    <s v="En Caja Operacional"/>
    <n v="229956"/>
    <m/>
    <n v="71552"/>
    <n v="60127.731092436974"/>
  </r>
  <r>
    <s v="Geronimo Mendez"/>
    <n v="221303"/>
    <d v="2025-12-30T12:41:51"/>
    <s v="76026604-3"/>
    <s v="CARVAJAL HERMANOS LTDA"/>
    <x v="4"/>
    <s v="Contraloria"/>
    <s v="Selene"/>
    <n v="390623"/>
    <n v="0"/>
    <n v="0"/>
    <s v="Cheque"/>
    <s v="En Caja Operacional"/>
    <n v="9454800"/>
    <d v="2026-01-26T00:00:00"/>
    <n v="195311"/>
    <n v="164126.89075630254"/>
  </r>
  <r>
    <s v="Geronimo Mendez"/>
    <n v="221303"/>
    <d v="2025-12-30T12:41:51"/>
    <s v="76026604-3"/>
    <s v="CARVAJAL HERMANOS LTDA"/>
    <x v="4"/>
    <s v="Contraloria"/>
    <s v="Selene"/>
    <n v="390623"/>
    <n v="0"/>
    <n v="0"/>
    <s v="Cheque"/>
    <s v="En Caja Operacional"/>
    <n v="9454801"/>
    <d v="2026-02-26T00:00:00"/>
    <n v="195312"/>
    <n v="164127.731092437"/>
  </r>
  <r>
    <s v="Geronimo Mendez"/>
    <n v="221302"/>
    <d v="2025-12-30T12:39:56"/>
    <s v="76633102-5"/>
    <s v="SERVIMOVIL COPIAPO GONZALO GARROTE G."/>
    <x v="4"/>
    <s v="Contraloria"/>
    <s v="Selene"/>
    <n v="517678"/>
    <n v="0"/>
    <n v="0"/>
    <s v="Cheque"/>
    <s v="En Caja Operacional"/>
    <n v="6296135"/>
    <d v="2026-01-16T00:00:00"/>
    <n v="517678"/>
    <n v="435023.5294117647"/>
  </r>
  <r>
    <s v="Geronimo Mendez"/>
    <n v="221301"/>
    <d v="2025-12-30T12:37:53"/>
    <s v="5806082-8"/>
    <s v="VICTOR ALVAREZ"/>
    <x v="4"/>
    <s v="Contraloria"/>
    <s v="Selene"/>
    <n v="98589"/>
    <n v="0"/>
    <n v="0"/>
    <s v="Cheque"/>
    <s v="En Caja Operacional"/>
    <n v="4806081"/>
    <d v="2026-01-12T00:00:00"/>
    <n v="98589"/>
    <n v="82847.899159663866"/>
  </r>
  <r>
    <s v="Geronimo Mendez"/>
    <n v="221300"/>
    <d v="2025-12-30T12:35:41"/>
    <s v="5725872-1"/>
    <s v="SEGUNDO ENRIQUE MORALES"/>
    <x v="14"/>
    <s v="Ventas Local"/>
    <s v="Maiko"/>
    <n v="45431"/>
    <n v="0"/>
    <n v="0"/>
    <s v="D√©bito"/>
    <s v="En Caja Operacional"/>
    <n v="127290"/>
    <m/>
    <n v="45431"/>
    <n v="38177.310924369747"/>
  </r>
  <r>
    <s v="Geronimo Mendez"/>
    <n v="221299"/>
    <d v="2025-12-30T12:35:14"/>
    <s v="13759949-K"/>
    <s v="MANUEL JESUS ESPINOZA"/>
    <x v="4"/>
    <s v="Contraloria"/>
    <s v="Selene"/>
    <n v="300000"/>
    <n v="0"/>
    <n v="0"/>
    <s v="Transferencia"/>
    <s v="En Caja Operacional"/>
    <n v="276507"/>
    <m/>
    <n v="300000"/>
    <n v="252100.84033613445"/>
  </r>
  <r>
    <s v="Geronimo Mendez"/>
    <n v="221298"/>
    <d v="2025-12-30T12:34:02"/>
    <s v="14099067-1"/>
    <s v="JOSE CARVAJAL"/>
    <x v="4"/>
    <s v="Contraloria"/>
    <s v="Selene"/>
    <n v="592029"/>
    <n v="0"/>
    <n v="0"/>
    <s v="Transferencia"/>
    <s v="En Caja Operacional"/>
    <n v="276506"/>
    <m/>
    <n v="592029"/>
    <n v="497503.36134453781"/>
  </r>
  <r>
    <s v="Linares"/>
    <n v="221297"/>
    <d v="2025-12-30T12:32:42"/>
    <s v="66666666-6"/>
    <s v="Cliente LINARES Generico"/>
    <x v="1"/>
    <s v="Linares"/>
    <s v="Eduardo"/>
    <n v="50298"/>
    <n v="0"/>
    <n v="0"/>
    <s v="D√©bito"/>
    <s v="En Caja Operacional"/>
    <n v="212292"/>
    <m/>
    <n v="50298"/>
    <n v="42267.226890756305"/>
  </r>
  <r>
    <s v="Geronimo Mendez"/>
    <n v="221297"/>
    <d v="2025-12-30T12:31:47"/>
    <s v="77124167-0"/>
    <s v="MECPARTS SPA"/>
    <x v="8"/>
    <s v="Ventas Local"/>
    <s v="Maiko"/>
    <n v="244301"/>
    <n v="0"/>
    <n v="0"/>
    <s v="Cr√©dito"/>
    <s v="En Caja Operacional"/>
    <n v="618292"/>
    <m/>
    <n v="244301"/>
    <n v="205294.95798319328"/>
  </r>
  <r>
    <s v="Geronimo Mendez"/>
    <n v="221296"/>
    <d v="2025-12-30T12:31:38"/>
    <s v="77325242-4"/>
    <s v="MEDIC CAR SPA"/>
    <x v="4"/>
    <s v="Contraloria"/>
    <s v="Selene"/>
    <n v="131942"/>
    <n v="0"/>
    <n v="0"/>
    <s v="Transferencia"/>
    <s v="En Caja Operacional"/>
    <n v="276505"/>
    <m/>
    <n v="131942"/>
    <n v="110875.63025210085"/>
  </r>
  <r>
    <s v="Geronimo Mendez"/>
    <n v="221295"/>
    <d v="2025-12-30T12:30:49"/>
    <s v="77897964-0"/>
    <s v="SOCIEDAD COMERCIAL CORTES ZEPEDA SPA"/>
    <x v="4"/>
    <s v="Contraloria"/>
    <s v="Selene"/>
    <n v="782932"/>
    <n v="0"/>
    <n v="0"/>
    <s v="Transferencia"/>
    <s v="En Caja Operacional"/>
    <n v="276508"/>
    <m/>
    <n v="782932"/>
    <n v="657926.05042016809"/>
  </r>
  <r>
    <s v="Rojas Magallanes"/>
    <n v="221294"/>
    <d v="2025-12-30T12:29:07"/>
    <s v="66666666-6"/>
    <s v="Cliente ROJAS MAGALLANES Generico"/>
    <x v="5"/>
    <s v="Rojas Magallanes"/>
    <s v="Marisol"/>
    <n v="33033"/>
    <n v="0"/>
    <n v="0"/>
    <s v="Cr√©dito"/>
    <s v="En Caja Operacional"/>
    <n v="616006"/>
    <m/>
    <n v="33033"/>
    <n v="27758.823529411766"/>
  </r>
  <r>
    <s v="Geronimo Mendez"/>
    <n v="221293"/>
    <d v="2025-12-30T12:26:50"/>
    <s v="78208417-8"/>
    <s v="MAX DETAILING SPA"/>
    <x v="4"/>
    <s v="Contraloria"/>
    <s v="Selene"/>
    <n v="174080"/>
    <n v="0"/>
    <n v="0"/>
    <s v="Transferencia"/>
    <s v="En Caja Operacional"/>
    <n v="276514"/>
    <m/>
    <n v="174080"/>
    <n v="146285.71428571429"/>
  </r>
  <r>
    <s v="Geronimo Mendez"/>
    <n v="221292"/>
    <d v="2025-12-30T12:20:50"/>
    <s v="77454936-6"/>
    <s v="ARIDOS DON TITO SPA"/>
    <x v="2"/>
    <s v="Contraloria"/>
    <s v="Selene"/>
    <n v="1502827"/>
    <n v="0"/>
    <n v="0"/>
    <s v="Cheque"/>
    <s v="En Caja Operacional"/>
    <n v="1844391"/>
    <d v="2026-01-13T00:00:00"/>
    <n v="392827"/>
    <n v="330106.72268907563"/>
  </r>
  <r>
    <s v="Geronimo Mendez"/>
    <n v="221292"/>
    <d v="2025-12-30T12:20:50"/>
    <s v="77454936-6"/>
    <s v="ARIDOS DON TITO SPA"/>
    <x v="2"/>
    <s v="Contraloria"/>
    <s v="Selene"/>
    <n v="1502827"/>
    <n v="0"/>
    <n v="0"/>
    <s v="Cheque"/>
    <s v="En Caja Operacional"/>
    <n v="1844393"/>
    <d v="2026-02-13T00:00:00"/>
    <n v="370000"/>
    <n v="310924.36974789918"/>
  </r>
  <r>
    <s v="Geronimo Mendez"/>
    <n v="221292"/>
    <d v="2025-12-30T12:20:50"/>
    <s v="77454936-6"/>
    <s v="ARIDOS DON TITO SPA"/>
    <x v="2"/>
    <s v="Contraloria"/>
    <s v="Selene"/>
    <n v="1502827"/>
    <n v="0"/>
    <n v="0"/>
    <s v="Cheque"/>
    <s v="En Caja Operacional"/>
    <n v="1844394"/>
    <d v="2026-03-13T00:00:00"/>
    <n v="370000"/>
    <n v="310924.36974789918"/>
  </r>
  <r>
    <s v="Geronimo Mendez"/>
    <n v="221292"/>
    <d v="2025-12-30T12:20:50"/>
    <s v="77454936-6"/>
    <s v="ARIDOS DON TITO SPA"/>
    <x v="2"/>
    <s v="Contraloria"/>
    <s v="Selene"/>
    <n v="1502827"/>
    <n v="0"/>
    <n v="0"/>
    <s v="Cheque"/>
    <s v="En Caja Operacional"/>
    <n v="1844395"/>
    <d v="2026-04-13T00:00:00"/>
    <n v="370000"/>
    <n v="310924.36974789918"/>
  </r>
  <r>
    <s v="Geronimo Mendez"/>
    <n v="221291"/>
    <d v="2025-12-30T12:19:59"/>
    <s v="77092441-3"/>
    <s v="TRANSPORTES TORO SPA"/>
    <x v="8"/>
    <s v="Ventas Local"/>
    <s v="SoporteVenta"/>
    <n v="400000"/>
    <n v="0"/>
    <n v="0"/>
    <s v="D√©bito"/>
    <s v="En Caja Operacional"/>
    <n v="824631"/>
    <m/>
    <n v="400000"/>
    <n v="336134.45378151262"/>
  </r>
  <r>
    <s v="Rojas Magallanes"/>
    <n v="221290"/>
    <d v="2025-12-30T12:17:16"/>
    <s v="66666666-6"/>
    <s v="Cliente ROJAS MAGALLANES Generico"/>
    <x v="5"/>
    <s v="Rojas Magallanes"/>
    <s v="Marisol"/>
    <n v="10503"/>
    <n v="0"/>
    <n v="0"/>
    <s v="D√©bito"/>
    <s v="En Caja Operacional"/>
    <n v="8177"/>
    <m/>
    <n v="10503"/>
    <n v="8826.0504201680669"/>
  </r>
  <r>
    <s v="Linares"/>
    <n v="221289"/>
    <d v="2025-12-30T12:17:02"/>
    <s v="66666666-6"/>
    <s v="Cliente LINARES Generico"/>
    <x v="1"/>
    <s v="Linares"/>
    <s v="Eduardo"/>
    <n v="33408"/>
    <n v="0"/>
    <n v="0"/>
    <s v="Efectivo"/>
    <s v="En Caja Operacional"/>
    <m/>
    <m/>
    <n v="33408"/>
    <n v="28073.949579831933"/>
  </r>
  <r>
    <s v="Geronimo Mendez"/>
    <n v="221288"/>
    <d v="2025-12-30T12:10:37"/>
    <s v="6276438-4"/>
    <s v="IVAR TORRES"/>
    <x v="8"/>
    <s v="Ventas Local"/>
    <s v="Maiko"/>
    <n v="294392"/>
    <n v="0"/>
    <n v="0"/>
    <s v="D√©bito"/>
    <s v="En Caja Operacional"/>
    <n v="13472"/>
    <m/>
    <n v="294392"/>
    <n v="247388.23529411765"/>
  </r>
  <r>
    <s v="Linares"/>
    <n v="221287"/>
    <d v="2025-12-30T12:04:36"/>
    <s v="66666666-6"/>
    <s v="Cliente LINARES Generico"/>
    <x v="1"/>
    <s v="Linares"/>
    <s v="Eduardo"/>
    <n v="31350"/>
    <n v="0"/>
    <n v="0"/>
    <s v="D√©bito"/>
    <s v="En Caja Operacional"/>
    <n v="353358"/>
    <m/>
    <n v="31350"/>
    <n v="26344.537815126052"/>
  </r>
  <r>
    <s v="Rojas Magallanes"/>
    <n v="221286"/>
    <d v="2025-12-30T12:01:49"/>
    <s v="78018382-9"/>
    <s v="MECANICA JULIO MUNOZ SAN MARTIN E I R L"/>
    <x v="5"/>
    <s v="Rojas Magallanes"/>
    <s v="Marisol"/>
    <n v="226665"/>
    <n v="0"/>
    <n v="0"/>
    <s v="Transferencia"/>
    <s v="En Caja Operacional"/>
    <n v="272105"/>
    <m/>
    <n v="226665"/>
    <n v="190474.78991596639"/>
  </r>
  <r>
    <s v="Geronimo Mendez"/>
    <n v="221285"/>
    <d v="2025-12-30T11:58:23"/>
    <s v="76654225-5"/>
    <s v="TRANSPORTES HUGO MARTIN HIDALGO MU√ëOZ"/>
    <x v="8"/>
    <s v="Ventas Local"/>
    <s v="SoporteVenta"/>
    <n v="91707"/>
    <n v="0"/>
    <n v="0"/>
    <s v="Cr√©dito"/>
    <s v="En Caja Operacional"/>
    <n v="570457"/>
    <m/>
    <n v="91707"/>
    <n v="77064.705882352951"/>
  </r>
  <r>
    <s v="Geronimo Mendez"/>
    <n v="221284"/>
    <d v="2025-12-30T11:54:31"/>
    <s v="76562269-7"/>
    <s v="EMP.COM. Y DE SERV.OSCAR ANDRES AGUIRRE"/>
    <x v="8"/>
    <s v="Ventas Local"/>
    <s v="SoporteVenta"/>
    <n v="130517"/>
    <n v="0"/>
    <n v="0"/>
    <s v="D√©bito"/>
    <s v="En Caja Operacional"/>
    <n v="16836"/>
    <m/>
    <n v="130517"/>
    <n v="109678.15126050421"/>
  </r>
  <r>
    <s v="Geronimo Mendez"/>
    <n v="221283"/>
    <d v="2025-12-30T11:53:34"/>
    <s v="6957639-7"/>
    <s v="JUAN CORROTEA"/>
    <x v="2"/>
    <s v="Contraloria"/>
    <s v="Selene"/>
    <n v="1873241"/>
    <n v="0"/>
    <n v="0"/>
    <s v="Cheque"/>
    <s v="En Caja Operacional"/>
    <n v="5349086"/>
    <d v="2026-01-25T00:00:00"/>
    <n v="463241"/>
    <n v="389278.15126050421"/>
  </r>
  <r>
    <s v="Geronimo Mendez"/>
    <n v="221283"/>
    <d v="2025-12-30T11:53:34"/>
    <s v="6957639-7"/>
    <s v="JUAN CORROTEA"/>
    <x v="2"/>
    <s v="Contraloria"/>
    <s v="Selene"/>
    <n v="1873241"/>
    <n v="0"/>
    <n v="0"/>
    <s v="Cheque"/>
    <s v="En Caja Operacional"/>
    <n v="5349087"/>
    <d v="2026-02-10T00:00:00"/>
    <n v="470000"/>
    <n v="394957.98319327732"/>
  </r>
  <r>
    <s v="Geronimo Mendez"/>
    <n v="221283"/>
    <d v="2025-12-30T11:53:34"/>
    <s v="6957639-7"/>
    <s v="JUAN CORROTEA"/>
    <x v="2"/>
    <s v="Contraloria"/>
    <s v="Selene"/>
    <n v="1873241"/>
    <n v="0"/>
    <n v="0"/>
    <s v="Cheque"/>
    <s v="En Caja Operacional"/>
    <n v="5349088"/>
    <d v="2026-02-28T00:00:00"/>
    <n v="470000"/>
    <n v="394957.98319327732"/>
  </r>
  <r>
    <s v="Geronimo Mendez"/>
    <n v="221283"/>
    <d v="2025-12-30T11:53:34"/>
    <s v="6957639-7"/>
    <s v="JUAN CORROTEA"/>
    <x v="2"/>
    <s v="Contraloria"/>
    <s v="Selene"/>
    <n v="1873241"/>
    <n v="0"/>
    <n v="0"/>
    <s v="Cheque"/>
    <s v="En Caja Operacional"/>
    <n v="5349089"/>
    <d v="2026-03-10T00:00:00"/>
    <n v="470000"/>
    <n v="394957.98319327732"/>
  </r>
  <r>
    <s v="Geronimo Mendez"/>
    <n v="221282"/>
    <d v="2025-12-30T11:51:35"/>
    <s v="77587799-5"/>
    <s v="SERVICIOS DE MANTENCIONES MECANICAS SPA"/>
    <x v="2"/>
    <s v="Contraloria"/>
    <s v="Selene"/>
    <n v="1214620"/>
    <n v="0"/>
    <n v="450"/>
    <s v="Cheque"/>
    <s v="En Caja Operacional"/>
    <n v="6440577"/>
    <d v="2026-01-19T00:00:00"/>
    <n v="404723"/>
    <n v="340103.36134453781"/>
  </r>
  <r>
    <s v="Geronimo Mendez"/>
    <n v="221282"/>
    <d v="2025-12-30T11:51:35"/>
    <s v="77587799-5"/>
    <s v="SERVICIOS DE MANTENCIONES MECANICAS SPA"/>
    <x v="2"/>
    <s v="Contraloria"/>
    <s v="Selene"/>
    <n v="1214620"/>
    <n v="0"/>
    <n v="450"/>
    <s v="Cheque"/>
    <s v="En Caja Operacional"/>
    <n v="6440578"/>
    <d v="2026-02-19T00:00:00"/>
    <n v="404723"/>
    <n v="340103.36134453781"/>
  </r>
  <r>
    <s v="Geronimo Mendez"/>
    <n v="221282"/>
    <d v="2025-12-30T11:51:35"/>
    <s v="77587799-5"/>
    <s v="SERVICIOS DE MANTENCIONES MECANICAS SPA"/>
    <x v="2"/>
    <s v="Contraloria"/>
    <s v="Selene"/>
    <n v="1214620"/>
    <n v="0"/>
    <n v="450"/>
    <s v="Cheque"/>
    <s v="En Caja Operacional"/>
    <n v="6440579"/>
    <d v="2026-03-19T00:00:00"/>
    <n v="405174"/>
    <n v="340482.3529411765"/>
  </r>
  <r>
    <s v="Geronimo Mendez"/>
    <n v="221281"/>
    <d v="2025-12-30T11:44:21"/>
    <s v="13328793-0"/>
    <s v="PETER ANTONIO GONZALEZ"/>
    <x v="2"/>
    <s v="Contraloria"/>
    <s v="Selene"/>
    <n v="245990"/>
    <n v="0"/>
    <n v="0"/>
    <s v="Cheque"/>
    <s v="En Caja Operacional"/>
    <n v="4779475"/>
    <d v="2025-12-19T00:00:00"/>
    <n v="245990"/>
    <n v="206714.28571428571"/>
  </r>
  <r>
    <s v="Ovalle"/>
    <n v="221280"/>
    <d v="2025-12-30T11:34:54"/>
    <s v="7376362-2"/>
    <s v="HARMING RIVERA"/>
    <x v="6"/>
    <s v="Ovalle"/>
    <s v="Emilio"/>
    <n v="101897"/>
    <n v="0"/>
    <n v="0"/>
    <s v="Cr√©dito"/>
    <s v="En Caja Operacional"/>
    <n v="490048"/>
    <m/>
    <n v="101897"/>
    <n v="85627.731092436981"/>
  </r>
  <r>
    <s v="Linares"/>
    <n v="221279"/>
    <d v="2025-12-30T11:15:31"/>
    <s v="66666666-6"/>
    <s v="Cliente LINARES Generico"/>
    <x v="1"/>
    <s v="Linares"/>
    <s v="Eduardo"/>
    <n v="30446"/>
    <n v="0"/>
    <n v="0"/>
    <s v="Efectivo"/>
    <s v="En Caja Operacional"/>
    <m/>
    <m/>
    <n v="30446"/>
    <n v="25584.873949579833"/>
  </r>
  <r>
    <s v="Linares"/>
    <n v="221278"/>
    <d v="2025-12-30T11:09:11"/>
    <s v="66666666-6"/>
    <s v="Cliente LINARES Generico"/>
    <x v="1"/>
    <s v="Linares"/>
    <s v="Eduardo"/>
    <n v="46474"/>
    <n v="0"/>
    <n v="0"/>
    <s v="D√©bito"/>
    <s v="En Caja Operacional"/>
    <n v="830929"/>
    <m/>
    <n v="46474"/>
    <n v="39053.781512605041"/>
  </r>
  <r>
    <s v="Linares"/>
    <n v="221277"/>
    <d v="2025-12-30T11:03:57"/>
    <s v="66666666-6"/>
    <s v="Cliente LINARES Generico"/>
    <x v="1"/>
    <s v="Linares"/>
    <s v="Eduardo"/>
    <n v="24252"/>
    <n v="0"/>
    <n v="0"/>
    <s v="D√©bito"/>
    <s v="En Caja Operacional"/>
    <n v="325987"/>
    <m/>
    <n v="24252"/>
    <n v="20379.831932773111"/>
  </r>
  <r>
    <s v="Linares"/>
    <n v="221276"/>
    <d v="2025-12-30T10:50:39"/>
    <s v="9262987-2"/>
    <s v="EDUARDO ENRIQUE PONCE"/>
    <x v="1"/>
    <s v="Linares"/>
    <s v="Eduardo"/>
    <n v="54220"/>
    <n v="0"/>
    <n v="0"/>
    <s v="D√©bito"/>
    <s v="En Caja Operacional"/>
    <n v="407754"/>
    <m/>
    <n v="54220"/>
    <n v="45563.025210084037"/>
  </r>
  <r>
    <s v="Rojas Magallanes"/>
    <n v="221275"/>
    <d v="2025-12-30T10:39:29"/>
    <s v="76495857-8"/>
    <s v="AUTO MOTO REPUESTOS LIMITADA"/>
    <x v="5"/>
    <s v="Rojas Magallanes"/>
    <s v="Marisol"/>
    <n v="391133"/>
    <n v="0"/>
    <n v="0"/>
    <s v="D√©bito"/>
    <s v="En Caja Operacional"/>
    <n v="4466"/>
    <m/>
    <n v="391133"/>
    <n v="328683.19327731093"/>
  </r>
  <r>
    <s v="Linares"/>
    <n v="221274"/>
    <d v="2025-12-30T10:39:25"/>
    <s v="66666666-6"/>
    <s v="Cliente LINARES Generico"/>
    <x v="1"/>
    <s v="Linares"/>
    <s v="Eduardo"/>
    <n v="75010"/>
    <n v="0"/>
    <n v="0"/>
    <s v="Efectivo"/>
    <s v="En Caja Operacional"/>
    <m/>
    <m/>
    <n v="75010"/>
    <n v="63033.613445378156"/>
  </r>
  <r>
    <s v="Rojas Magallanes"/>
    <n v="221273"/>
    <d v="2025-12-30T10:38:18"/>
    <s v="76495857-8"/>
    <s v="AUTO MOTO REPUESTOS LIMITADA"/>
    <x v="5"/>
    <s v="Rojas Magallanes"/>
    <s v="Marisol"/>
    <n v="66370"/>
    <n v="0"/>
    <n v="0"/>
    <s v="D√©bito"/>
    <s v="En Caja Operacional"/>
    <n v="32657"/>
    <m/>
    <n v="66370"/>
    <n v="55773.10924369748"/>
  </r>
  <r>
    <s v="Linares"/>
    <n v="221272"/>
    <d v="2025-12-30T10:05:00"/>
    <s v="9262987-2"/>
    <s v="EDUARDO ENRIQUE PONCE"/>
    <x v="1"/>
    <s v="Linares"/>
    <s v="Eduardo"/>
    <n v="56199"/>
    <n v="0"/>
    <n v="0"/>
    <s v="Efectivo"/>
    <s v="En Caja Operacional"/>
    <m/>
    <m/>
    <n v="19588"/>
    <n v="16460.504201680673"/>
  </r>
  <r>
    <s v="Linares"/>
    <n v="221272"/>
    <d v="2025-12-30T10:05:00"/>
    <s v="9262987-2"/>
    <s v="EDUARDO ENRIQUE PONCE"/>
    <x v="1"/>
    <s v="Linares"/>
    <s v="Eduardo"/>
    <n v="56199"/>
    <n v="0"/>
    <n v="0"/>
    <s v="D√©bito"/>
    <s v="En Caja Operacional"/>
    <n v="757923"/>
    <m/>
    <n v="30611"/>
    <n v="25723.529411764706"/>
  </r>
  <r>
    <s v="Linares"/>
    <n v="221272"/>
    <d v="2025-12-30T10:05:00"/>
    <s v="9262987-2"/>
    <s v="EDUARDO ENRIQUE PONCE"/>
    <x v="1"/>
    <s v="Linares"/>
    <s v="Eduardo"/>
    <n v="56199"/>
    <n v="0"/>
    <n v="0"/>
    <s v="D√©bito"/>
    <s v="En Caja Operacional"/>
    <n v="245265"/>
    <m/>
    <n v="6000"/>
    <n v="5042.0168067226896"/>
  </r>
  <r>
    <s v="Rojas Magallanes"/>
    <n v="221271"/>
    <d v="2025-12-30T10:02:23"/>
    <s v="66666666-6"/>
    <s v="Cliente ROJAS MAGALLANES Generico"/>
    <x v="5"/>
    <s v="Rojas Magallanes"/>
    <s v="Marisol"/>
    <n v="30611"/>
    <n v="0"/>
    <n v="0"/>
    <s v="D√©bito"/>
    <s v="En Caja Operacional"/>
    <n v="147024"/>
    <m/>
    <n v="30611"/>
    <n v="25723.529411764706"/>
  </r>
  <r>
    <s v="Ovalle"/>
    <n v="221270"/>
    <d v="2025-12-30T09:40:24"/>
    <s v="66666666-6"/>
    <s v="Cliente OVALLE Generico"/>
    <x v="6"/>
    <s v="Ovalle"/>
    <s v="Emilio"/>
    <n v="98246"/>
    <n v="0"/>
    <n v="0"/>
    <s v="Efectivo"/>
    <s v="En Caja Operacional"/>
    <m/>
    <m/>
    <n v="98246"/>
    <n v="82559.663865546216"/>
  </r>
  <r>
    <s v="Linares"/>
    <n v="221269"/>
    <d v="2025-12-30T09:37:20"/>
    <s v="66666666-6"/>
    <s v="Cliente LINARES Generico"/>
    <x v="1"/>
    <s v="Linares"/>
    <s v="Eduardo"/>
    <n v="30636"/>
    <n v="0"/>
    <n v="0"/>
    <s v="Efectivo"/>
    <s v="En Caja Operacional"/>
    <m/>
    <m/>
    <n v="19600"/>
    <n v="16470.588235294119"/>
  </r>
  <r>
    <s v="Linares"/>
    <n v="221269"/>
    <d v="2025-12-30T09:37:20"/>
    <s v="66666666-6"/>
    <s v="Cliente LINARES Generico"/>
    <x v="1"/>
    <s v="Linares"/>
    <s v="Eduardo"/>
    <n v="30636"/>
    <n v="0"/>
    <n v="0"/>
    <s v="D√©bito"/>
    <s v="En Caja Operacional"/>
    <n v="538360"/>
    <m/>
    <n v="11036"/>
    <n v="9273.9495798319331"/>
  </r>
  <r>
    <s v="Linares"/>
    <n v="221268"/>
    <d v="2025-12-30T09:19:07"/>
    <s v="66666666-6"/>
    <s v="Cliente LINARES Generico"/>
    <x v="1"/>
    <s v="Linares"/>
    <s v="Eduardo"/>
    <n v="30446"/>
    <n v="0"/>
    <n v="0"/>
    <s v="Efectivo"/>
    <s v="En Caja Operacional"/>
    <m/>
    <m/>
    <n v="30446"/>
    <n v="25584.873949579833"/>
  </r>
  <r>
    <s v="Linares"/>
    <n v="221267"/>
    <d v="2025-12-30T09:13:59"/>
    <s v="76691776-3"/>
    <s v="ARACENA Y LEMAIRE SPA"/>
    <x v="1"/>
    <s v="Linares"/>
    <s v="Eduardo"/>
    <n v="46992"/>
    <n v="0"/>
    <n v="0"/>
    <s v="Efectivo"/>
    <s v="En Caja Operacional"/>
    <m/>
    <m/>
    <n v="46992"/>
    <n v="39489.075630252104"/>
  </r>
  <r>
    <s v="Antillanca"/>
    <n v="221266"/>
    <d v="2025-12-30T08:32:20"/>
    <s v="79904920-1"/>
    <s v="TRANSPORTE DE COMBUSTIBLES CHILE LTDA."/>
    <x v="13"/>
    <s v="Antillanca"/>
    <s v="Nataly"/>
    <n v="1792140"/>
    <n v="0"/>
    <n v="0"/>
    <s v="Transferencia"/>
    <s v="En Caja Operacional"/>
    <n v="64"/>
    <m/>
    <n v="1792140"/>
    <n v="1506000"/>
  </r>
  <r>
    <s v="Antillanca"/>
    <n v="221265"/>
    <d v="2025-12-30T08:29:45"/>
    <s v="24809434-6"/>
    <s v="JUAN  CHOMBA"/>
    <x v="12"/>
    <s v="Antillanca"/>
    <s v="Nataly"/>
    <n v="683313"/>
    <n v="0"/>
    <n v="0"/>
    <s v="Transferencia"/>
    <s v="En Caja Operacional"/>
    <n v="198"/>
    <m/>
    <n v="683313"/>
    <n v="574212.60504201683"/>
  </r>
  <r>
    <s v="Antillanca"/>
    <n v="221264"/>
    <d v="2025-12-30T08:24:58"/>
    <s v="7576617-3"/>
    <s v="ALEJANDRA DEL CARMEN HENRIQUEZ ROMERO"/>
    <x v="12"/>
    <s v="Antillanca"/>
    <s v="Nataly"/>
    <n v="935468"/>
    <n v="0"/>
    <n v="0"/>
    <s v="Transferencia"/>
    <s v="En Caja Operacional"/>
    <n v="194"/>
    <m/>
    <n v="935468"/>
    <n v="786107.56302521017"/>
  </r>
  <r>
    <s v="Linares"/>
    <n v="221263"/>
    <d v="2025-12-29T17:52:03"/>
    <s v="66666666-6"/>
    <s v="Cliente LINARES Generico"/>
    <x v="1"/>
    <s v="Linares"/>
    <s v="Eduardo"/>
    <n v="44868"/>
    <n v="0"/>
    <n v="0"/>
    <s v="D√©bito"/>
    <s v="En Caja Operacional"/>
    <n v="122959"/>
    <m/>
    <n v="44868"/>
    <n v="37704.201680672268"/>
  </r>
  <r>
    <s v="Geronimo Mendez"/>
    <n v="221262"/>
    <d v="2025-12-29T17:46:02"/>
    <s v="8465891-K"/>
    <s v="SANDRA GODOY"/>
    <x v="2"/>
    <s v="Contraloria"/>
    <s v="Selene"/>
    <n v="744693"/>
    <n v="0"/>
    <n v="0"/>
    <s v="Cheque"/>
    <s v="En Caja Operacional"/>
    <n v="1956000"/>
    <d v="2026-01-20T00:00:00"/>
    <n v="744693"/>
    <n v="625792.43697478995"/>
  </r>
  <r>
    <s v="Linares"/>
    <n v="221261"/>
    <d v="2025-12-29T17:19:55"/>
    <s v="66666666-6"/>
    <s v="Cliente LINARES Generico"/>
    <x v="1"/>
    <s v="Linares"/>
    <s v="Eduardo"/>
    <n v="56771"/>
    <n v="0"/>
    <n v="0"/>
    <s v="Efectivo"/>
    <s v="En Caja Operacional"/>
    <m/>
    <m/>
    <n v="56771"/>
    <n v="47706.722689075636"/>
  </r>
  <r>
    <s v="Geronimo Mendez"/>
    <n v="221260"/>
    <d v="2025-12-29T17:10:22"/>
    <s v="12267788-5"/>
    <s v="CARLOS EDUARDO  CORREA"/>
    <x v="4"/>
    <s v="Ventas Local"/>
    <s v="SoporteVenta"/>
    <n v="172945"/>
    <n v="0"/>
    <n v="0"/>
    <s v="Efectivo"/>
    <s v="En Caja Operacional"/>
    <m/>
    <m/>
    <n v="100000"/>
    <n v="84033.613445378156"/>
  </r>
  <r>
    <s v="Geronimo Mendez"/>
    <n v="221260"/>
    <d v="2025-12-29T17:10:22"/>
    <s v="12267788-5"/>
    <s v="CARLOS EDUARDO  CORREA"/>
    <x v="4"/>
    <s v="Ventas Local"/>
    <s v="SoporteVenta"/>
    <n v="172945"/>
    <n v="0"/>
    <n v="0"/>
    <s v="D√©bito"/>
    <s v="En Caja Operacional"/>
    <n v="3497"/>
    <m/>
    <n v="72945"/>
    <n v="61298.319327731093"/>
  </r>
  <r>
    <s v="Linares"/>
    <n v="221259"/>
    <d v="2025-12-29T17:04:34"/>
    <s v="9262987-2"/>
    <s v="EDUARDO ENRIQUE PONCE"/>
    <x v="1"/>
    <s v="Linares"/>
    <s v="Eduardo"/>
    <n v="35536"/>
    <n v="0"/>
    <n v="0"/>
    <s v="Efectivo"/>
    <s v="En Caja Operacional"/>
    <m/>
    <m/>
    <n v="5536"/>
    <n v="4652.1008403361348"/>
  </r>
  <r>
    <s v="Linares"/>
    <n v="221259"/>
    <d v="2025-12-29T17:04:34"/>
    <s v="9262987-2"/>
    <s v="EDUARDO ENRIQUE PONCE"/>
    <x v="1"/>
    <s v="Linares"/>
    <s v="Eduardo"/>
    <n v="35536"/>
    <n v="0"/>
    <n v="0"/>
    <s v="D√©bito"/>
    <s v="En Caja Operacional"/>
    <n v="852358"/>
    <m/>
    <n v="30000"/>
    <n v="25210.084033613446"/>
  </r>
  <r>
    <s v="Geronimo Mendez"/>
    <n v="221258"/>
    <d v="2025-12-29T16:38:01"/>
    <s v="76438687-6"/>
    <s v="KAMOCAR SERVICIOS AUTOMOTRICES SPA"/>
    <x v="2"/>
    <s v="Contraloria"/>
    <s v="Selene"/>
    <n v="5505796"/>
    <n v="0"/>
    <n v="0"/>
    <s v="Transferencia"/>
    <s v="En Caja Operacional"/>
    <n v="275399"/>
    <m/>
    <n v="2294308"/>
    <n v="1927989.9159663867"/>
  </r>
  <r>
    <s v="Geronimo Mendez"/>
    <n v="221258"/>
    <d v="2025-12-29T16:38:01"/>
    <s v="76438687-6"/>
    <s v="KAMOCAR SERVICIOS AUTOMOTRICES SPA"/>
    <x v="2"/>
    <s v="Contraloria"/>
    <s v="Selene"/>
    <n v="5505796"/>
    <n v="0"/>
    <n v="0"/>
    <s v="Cheque"/>
    <s v="En Caja Operacional"/>
    <n v="5254093"/>
    <d v="2026-01-16T00:00:00"/>
    <n v="3211488"/>
    <n v="2698729.411764706"/>
  </r>
  <r>
    <s v="Linares"/>
    <n v="221257"/>
    <d v="2025-12-29T16:23:31"/>
    <s v="66666666-6"/>
    <s v="Cliente LINARES Generico"/>
    <x v="1"/>
    <s v="Linares"/>
    <s v="Eduardo"/>
    <n v="69986"/>
    <n v="0"/>
    <n v="0"/>
    <s v="D√©bito"/>
    <s v="En Caja Operacional"/>
    <n v="255158"/>
    <m/>
    <n v="69986"/>
    <n v="58811.764705882357"/>
  </r>
  <r>
    <s v="Linares"/>
    <n v="221256"/>
    <d v="2025-12-29T16:13:32"/>
    <s v="66666666-6"/>
    <s v="Cliente LINARES Generico"/>
    <x v="1"/>
    <s v="Linares"/>
    <s v="Eduardo"/>
    <n v="6527"/>
    <n v="0"/>
    <n v="0"/>
    <s v="Efectivo"/>
    <s v="En Caja Operacional"/>
    <m/>
    <m/>
    <n v="6527"/>
    <n v="5484.8739495798318"/>
  </r>
  <r>
    <s v="Linares"/>
    <n v="221255"/>
    <d v="2025-12-29T16:10:28"/>
    <s v="17014761-8"/>
    <s v="JUAN ANTONIO  ROJAS"/>
    <x v="8"/>
    <s v="Linares"/>
    <s v="Eduardo"/>
    <n v="30611"/>
    <n v="0"/>
    <n v="0"/>
    <s v="D√©bito"/>
    <s v="En Caja Operacional"/>
    <n v="940700"/>
    <m/>
    <n v="30611"/>
    <n v="25723.529411764706"/>
  </r>
  <r>
    <s v="Linares"/>
    <n v="221254"/>
    <d v="2025-12-29T15:46:05"/>
    <s v="66666666-6"/>
    <s v="Cliente LINARES Generico"/>
    <x v="1"/>
    <s v="Linares"/>
    <s v="Eduardo"/>
    <n v="61885"/>
    <n v="0"/>
    <n v="0"/>
    <s v="D√©bito"/>
    <s v="En Caja Operacional"/>
    <n v="524675"/>
    <m/>
    <n v="61885"/>
    <n v="52004.201680672268"/>
  </r>
  <r>
    <s v="Geronimo Mendez"/>
    <n v="221253"/>
    <d v="2025-12-29T15:45:13"/>
    <s v="15674848-K"/>
    <s v="JORGE ANDRES MONARDES"/>
    <x v="8"/>
    <s v="Ventas Local"/>
    <s v="Maiko"/>
    <n v="25715"/>
    <n v="0"/>
    <n v="0"/>
    <s v="Efectivo"/>
    <s v="En Caja Operacional"/>
    <m/>
    <m/>
    <n v="25715"/>
    <n v="21609.243697478993"/>
  </r>
  <r>
    <s v="Geronimo Mendez"/>
    <n v="221252"/>
    <d v="2025-12-29T15:33:37"/>
    <s v="66666666-6"/>
    <s v="Cliente GERONIMO MENDEZ Generico"/>
    <x v="8"/>
    <s v="Ventas Local"/>
    <s v="Maiko"/>
    <n v="70594"/>
    <n v="0"/>
    <n v="0"/>
    <s v="D√©bito"/>
    <s v="En Caja Operacional"/>
    <n v="257794"/>
    <m/>
    <n v="70594"/>
    <n v="59322.689075630253"/>
  </r>
  <r>
    <s v="Ovalle"/>
    <n v="221252"/>
    <d v="2025-12-29T15:31:54"/>
    <s v="77076072-0"/>
    <s v="VERTAL SPA"/>
    <x v="6"/>
    <s v="Ovalle"/>
    <s v="Emilio"/>
    <n v="85904"/>
    <n v="0"/>
    <n v="0"/>
    <s v="Efectivo"/>
    <s v="En Caja Operacional"/>
    <m/>
    <m/>
    <n v="85904"/>
    <n v="72188.23529411765"/>
  </r>
  <r>
    <s v="Ovalle"/>
    <n v="221251"/>
    <d v="2025-12-29T15:24:46"/>
    <s v="76821745-9"/>
    <s v="TRANSPORTES RIMAI LIMITADA"/>
    <x v="0"/>
    <s v="Ovalle"/>
    <s v="Emilio"/>
    <n v="183419"/>
    <n v="0"/>
    <n v="0"/>
    <s v="D√©bito"/>
    <s v="En Caja Operacional"/>
    <n v="426974"/>
    <m/>
    <n v="183419"/>
    <n v="154133.61344537817"/>
  </r>
  <r>
    <s v="Ovalle"/>
    <n v="221250"/>
    <d v="2025-12-29T15:15:23"/>
    <s v="66666666-6"/>
    <s v="Cliente OVALLE Generico"/>
    <x v="6"/>
    <s v="Ovalle"/>
    <s v="Emilio"/>
    <n v="45483"/>
    <n v="0"/>
    <n v="0"/>
    <s v="D√©bito"/>
    <s v="En Caja Operacional"/>
    <n v="910008"/>
    <m/>
    <n v="45483"/>
    <n v="38221.008403361346"/>
  </r>
  <r>
    <s v="Geronimo Mendez"/>
    <n v="221249"/>
    <d v="2025-12-29T15:13:39"/>
    <s v="77551174-5"/>
    <s v="TRANSPORTES LUISHTO SPA"/>
    <x v="8"/>
    <s v="Ventas Local"/>
    <s v="Maiko"/>
    <n v="54979"/>
    <n v="0"/>
    <n v="0"/>
    <s v="D√©bito"/>
    <s v="En Caja Operacional"/>
    <n v="124780"/>
    <m/>
    <n v="54979"/>
    <n v="46200.840336134454"/>
  </r>
  <r>
    <s v="Antillanca"/>
    <n v="221248"/>
    <d v="2025-12-29T15:07:25"/>
    <s v="76336829-7"/>
    <s v="TRANSPORTES VEGA MORELLI LIMITADA"/>
    <x v="13"/>
    <s v="Antillanca"/>
    <s v="Nataly"/>
    <n v="3551947"/>
    <n v="0"/>
    <n v="786863"/>
    <s v="Transferencia"/>
    <s v="En Caja Operacional"/>
    <n v="192"/>
    <m/>
    <n v="3551947"/>
    <n v="2984829.411764706"/>
  </r>
  <r>
    <s v="Geronimo Mendez"/>
    <n v="221247"/>
    <d v="2025-12-29T15:05:09"/>
    <s v="66666666-6"/>
    <s v="Cliente GERONIMO MENDEZ Generico"/>
    <x v="8"/>
    <s v="Ventas Local"/>
    <s v="Maiko"/>
    <n v="70594"/>
    <n v="0"/>
    <n v="0"/>
    <s v="D√©bito"/>
    <s v="En Caja Operacional"/>
    <n v="433036"/>
    <m/>
    <n v="70594"/>
    <n v="59322.689075630253"/>
  </r>
  <r>
    <s v="Antillanca"/>
    <n v="221246"/>
    <d v="2025-12-29T13:58:01"/>
    <s v="77296338-6"/>
    <s v="SERVICIOS AUTOMOTRIZ GUERRERO SPA"/>
    <x v="3"/>
    <s v="Antillanca"/>
    <s v="Nataly"/>
    <n v="7069"/>
    <n v="0"/>
    <n v="0"/>
    <s v="Transferencia"/>
    <s v="En Caja Operacional"/>
    <n v="327"/>
    <m/>
    <n v="7069"/>
    <n v="5940.3361344537816"/>
  </r>
  <r>
    <s v="Rojas Magallanes"/>
    <n v="221245"/>
    <d v="2025-12-29T13:54:31"/>
    <s v="66666666-6"/>
    <s v="Cliente ROJAS MAGALLANES Generico"/>
    <x v="5"/>
    <s v="Rojas Magallanes"/>
    <s v="Marisol"/>
    <n v="13014"/>
    <n v="0"/>
    <n v="0"/>
    <s v="D√©bito"/>
    <s v="En Caja Operacional"/>
    <n v="405399"/>
    <m/>
    <n v="13014"/>
    <n v="10936.134453781513"/>
  </r>
  <r>
    <s v="Rojas Magallanes"/>
    <n v="221244"/>
    <d v="2025-12-29T13:09:28"/>
    <s v="76495857-8"/>
    <s v="AUTO MOTO REPUESTOS LIMITADA"/>
    <x v="5"/>
    <s v="Rojas Magallanes"/>
    <s v="Marisol"/>
    <n v="67364"/>
    <n v="0"/>
    <n v="0"/>
    <s v="D√©bito"/>
    <s v="En Caja Operacional"/>
    <n v="71445"/>
    <m/>
    <n v="67364"/>
    <n v="56608.403361344543"/>
  </r>
  <r>
    <s v="Geronimo Mendez"/>
    <n v="221243"/>
    <d v="2025-12-29T13:08:54"/>
    <s v="76046294-2"/>
    <s v="TRANSPORTES DURAN CASTILLO LTDA."/>
    <x v="0"/>
    <s v="Ventas Local"/>
    <s v="SoporteVenta"/>
    <n v="242260"/>
    <n v="0"/>
    <n v="0"/>
    <s v="Cheque"/>
    <s v="En Caja Operacional"/>
    <n v="7212402"/>
    <d v="2026-01-25T00:00:00"/>
    <n v="242260"/>
    <n v="203579.83193277312"/>
  </r>
  <r>
    <s v="Geronimo Mendez"/>
    <n v="221242"/>
    <d v="2025-12-29T12:58:29"/>
    <s v="9530253-K"/>
    <s v="JORGE CARVAJAL"/>
    <x v="0"/>
    <s v="Ventas Local"/>
    <s v="SoporteVenta"/>
    <n v="422245"/>
    <n v="0"/>
    <n v="0"/>
    <s v="Cr√©dito"/>
    <s v="En Caja Operacional"/>
    <n v="407057"/>
    <m/>
    <n v="422245"/>
    <n v="354827.731092437"/>
  </r>
  <r>
    <s v="Linares"/>
    <n v="221241"/>
    <d v="2025-12-29T12:56:50"/>
    <s v="66666666-6"/>
    <s v="Cliente LINARES Generico"/>
    <x v="1"/>
    <s v="Linares"/>
    <s v="Eduardo"/>
    <n v="44868"/>
    <n v="0"/>
    <n v="0"/>
    <s v="Cr√©dito"/>
    <s v="En Caja Operacional"/>
    <n v="407464"/>
    <m/>
    <n v="44868"/>
    <n v="37704.201680672268"/>
  </r>
  <r>
    <s v="Ovalle"/>
    <n v="221240"/>
    <d v="2025-12-29T12:55:28"/>
    <s v="76286530-0"/>
    <s v="EMP.DE COM.Y TRANSP.NESTOR ALEXIS CORTES"/>
    <x v="6"/>
    <s v="Ovalle"/>
    <s v="Emilio"/>
    <n v="91710"/>
    <n v="0"/>
    <n v="0"/>
    <s v="Efectivo"/>
    <s v="En Caja Operacional"/>
    <m/>
    <m/>
    <n v="91710"/>
    <n v="77067.226890756312"/>
  </r>
  <r>
    <s v="Geronimo Mendez"/>
    <n v="221239"/>
    <d v="2025-12-29T12:49:40"/>
    <s v="4393593-3"/>
    <s v="HECTOR VALDERRAMA"/>
    <x v="2"/>
    <s v="Contraloria"/>
    <s v="Selene"/>
    <n v="642534"/>
    <n v="0"/>
    <n v="0"/>
    <s v="Transferencia"/>
    <s v="En Caja Operacional"/>
    <n v="276561"/>
    <m/>
    <n v="313541"/>
    <n v="263479.83193277312"/>
  </r>
  <r>
    <s v="Geronimo Mendez"/>
    <n v="221239"/>
    <d v="2025-12-29T12:49:40"/>
    <s v="4393593-3"/>
    <s v="HECTOR VALDERRAMA"/>
    <x v="2"/>
    <s v="Contraloria"/>
    <s v="Selene"/>
    <n v="642534"/>
    <n v="0"/>
    <n v="0"/>
    <s v="Transferencia"/>
    <s v="En Caja Operacional"/>
    <n v="276561"/>
    <m/>
    <n v="328993"/>
    <n v="276464.70588235295"/>
  </r>
  <r>
    <s v="Geronimo Mendez"/>
    <n v="221238"/>
    <d v="2025-12-29T12:45:50"/>
    <s v="26985013-2"/>
    <s v="MARIA FERNANDA PARRA"/>
    <x v="2"/>
    <s v="Contraloria"/>
    <s v="Selene"/>
    <n v="185595"/>
    <n v="0"/>
    <n v="0"/>
    <s v="Transferencia"/>
    <s v="En Caja Operacional"/>
    <n v="276566"/>
    <m/>
    <n v="185595"/>
    <n v="155962.18487394959"/>
  </r>
  <r>
    <s v="Geronimo Mendez"/>
    <n v="221237"/>
    <d v="2025-12-29T12:43:59"/>
    <s v="76562269-7"/>
    <s v="EMP.COM. Y DE SERV.OSCAR ANDRES AGUIRRE"/>
    <x v="8"/>
    <s v="Ventas Local"/>
    <s v="Maiko"/>
    <n v="130517"/>
    <n v="0"/>
    <n v="0"/>
    <s v="D√©bito"/>
    <s v="En Caja Operacional"/>
    <n v="27155"/>
    <m/>
    <n v="130517"/>
    <n v="109678.15126050421"/>
  </r>
  <r>
    <s v="Geronimo Mendez"/>
    <n v="221236"/>
    <d v="2025-12-29T12:36:06"/>
    <s v="8485315-1"/>
    <s v="WENCESLAO DELGADO"/>
    <x v="2"/>
    <s v="Ventas Local"/>
    <s v="SoporteVenta"/>
    <n v="94465"/>
    <n v="0"/>
    <n v="0"/>
    <s v="D√©bito"/>
    <s v="En Caja Operacional"/>
    <n v="833978"/>
    <m/>
    <n v="94465"/>
    <n v="79382.352941176476"/>
  </r>
  <r>
    <s v="Linares"/>
    <n v="221235"/>
    <d v="2025-12-29T12:28:48"/>
    <s v="66666666-6"/>
    <s v="Cliente LINARES Generico"/>
    <x v="1"/>
    <s v="Linares"/>
    <s v="Eduardo"/>
    <n v="38753"/>
    <n v="0"/>
    <n v="0"/>
    <s v="Efectivo"/>
    <s v="En Caja Operacional"/>
    <m/>
    <m/>
    <n v="38753"/>
    <n v="32565.546218487398"/>
  </r>
  <r>
    <s v="Geronimo Mendez"/>
    <n v="221234"/>
    <d v="2025-12-29T12:11:39"/>
    <s v="6735507-5"/>
    <s v="YUVINZA FLORES"/>
    <x v="8"/>
    <s v="Ventas Local"/>
    <s v="Maiko"/>
    <n v="790912"/>
    <n v="0"/>
    <n v="0"/>
    <s v="Cheque"/>
    <s v="En Caja Operacional"/>
    <n v="3050339"/>
    <d v="2026-01-28T00:00:00"/>
    <n v="264912"/>
    <n v="222615.12605042016"/>
  </r>
  <r>
    <s v="Geronimo Mendez"/>
    <n v="221234"/>
    <d v="2025-12-29T12:11:39"/>
    <s v="6735507-5"/>
    <s v="YUVINZA FLORES"/>
    <x v="8"/>
    <s v="Ventas Local"/>
    <s v="Maiko"/>
    <n v="790912"/>
    <n v="0"/>
    <n v="0"/>
    <s v="Cheque"/>
    <s v="En Caja Operacional"/>
    <n v="3050340"/>
    <d v="2026-02-28T00:00:00"/>
    <n v="263000"/>
    <n v="221008.40336134454"/>
  </r>
  <r>
    <s v="Geronimo Mendez"/>
    <n v="221234"/>
    <d v="2025-12-29T12:11:39"/>
    <s v="6735507-5"/>
    <s v="YUVINZA FLORES"/>
    <x v="8"/>
    <s v="Ventas Local"/>
    <s v="Maiko"/>
    <n v="790912"/>
    <n v="0"/>
    <n v="0"/>
    <s v="Cheque"/>
    <s v="En Caja Operacional"/>
    <n v="3050341"/>
    <d v="2026-03-28T00:00:00"/>
    <n v="263000"/>
    <n v="221008.40336134454"/>
  </r>
  <r>
    <s v="Ovalle"/>
    <n v="221233"/>
    <d v="2025-12-29T12:08:51"/>
    <s v="66666666-6"/>
    <s v="Cliente OVALLE Generico"/>
    <x v="6"/>
    <s v="Ovalle"/>
    <s v="Emilio"/>
    <n v="36432"/>
    <n v="0"/>
    <n v="0"/>
    <s v="D√©bito"/>
    <s v="En Caja Operacional"/>
    <n v="507672"/>
    <m/>
    <n v="36432"/>
    <n v="30615.126050420171"/>
  </r>
  <r>
    <s v="Linares"/>
    <n v="221232"/>
    <d v="2025-12-29T11:54:39"/>
    <s v="66666666-6"/>
    <s v="Cliente LINARES Generico"/>
    <x v="1"/>
    <s v="Linares"/>
    <s v="Eduardo"/>
    <n v="52278"/>
    <n v="0"/>
    <n v="0"/>
    <s v="D√©bito"/>
    <s v="En Caja Operacional"/>
    <n v="406843"/>
    <m/>
    <n v="52278"/>
    <n v="43931.092436974795"/>
  </r>
  <r>
    <s v="Linares"/>
    <n v="221231"/>
    <d v="2025-12-29T11:51:51"/>
    <s v="12111113-6"/>
    <s v="RICARDO SEGOVIA"/>
    <x v="0"/>
    <s v="Linares"/>
    <s v="Eduardo"/>
    <n v="24064"/>
    <n v="0"/>
    <n v="0"/>
    <s v="Efectivo"/>
    <s v="En Caja Operacional"/>
    <m/>
    <m/>
    <n v="24064"/>
    <n v="20221.848739495799"/>
  </r>
  <r>
    <s v="Ovalle"/>
    <n v="221230"/>
    <d v="2025-12-29T11:49:08"/>
    <s v="66666666-6"/>
    <s v="Cliente OVALLE Generico"/>
    <x v="6"/>
    <s v="Ovalle"/>
    <s v="Emilio"/>
    <n v="45977"/>
    <n v="0"/>
    <n v="0"/>
    <s v="D√©bito"/>
    <s v="En Caja Operacional"/>
    <n v="826924"/>
    <m/>
    <n v="45977"/>
    <n v="38636.134453781517"/>
  </r>
  <r>
    <s v="Geronimo Mendez"/>
    <n v="221228"/>
    <d v="2025-12-29T11:13:05"/>
    <s v="6276438-4"/>
    <s v="IVAR TORRES"/>
    <x v="8"/>
    <s v="Ventas Local"/>
    <s v="Maiko"/>
    <n v="241841"/>
    <n v="0"/>
    <n v="0"/>
    <s v="Efectivo"/>
    <s v="En Caja Operacional"/>
    <m/>
    <m/>
    <n v="61841"/>
    <n v="51967.226890756305"/>
  </r>
  <r>
    <s v="Geronimo Mendez"/>
    <n v="221228"/>
    <d v="2025-12-29T11:13:05"/>
    <s v="6276438-4"/>
    <s v="IVAR TORRES"/>
    <x v="8"/>
    <s v="Ventas Local"/>
    <s v="Maiko"/>
    <n v="241841"/>
    <n v="0"/>
    <n v="0"/>
    <s v="D√©bito"/>
    <s v="En Caja Operacional"/>
    <n v="205920"/>
    <m/>
    <n v="180000"/>
    <n v="151260.50420168068"/>
  </r>
  <r>
    <s v="Ovalle"/>
    <n v="221227"/>
    <d v="2025-12-29T11:08:17"/>
    <s v="66666666-6"/>
    <s v="Cliente OVALLE Generico"/>
    <x v="6"/>
    <s v="Ovalle"/>
    <s v="Emilio"/>
    <n v="23164"/>
    <n v="0"/>
    <n v="0"/>
    <s v="D√©bito"/>
    <s v="En Caja Operacional"/>
    <n v="70374"/>
    <m/>
    <n v="23164"/>
    <n v="19465.546218487394"/>
  </r>
  <r>
    <s v="Geronimo Mendez"/>
    <n v="221226"/>
    <d v="2025-12-29T11:00:31"/>
    <s v="76351116-2"/>
    <s v="TRANSPORTES BRASNO LIMITADA"/>
    <x v="8"/>
    <s v="Ventas Local"/>
    <s v="Maiko"/>
    <n v="468822"/>
    <n v="0"/>
    <n v="0"/>
    <s v="Transferencia"/>
    <s v="En Caja Operacional"/>
    <n v="276681"/>
    <m/>
    <n v="468822"/>
    <n v="393968.06722689077"/>
  </r>
  <r>
    <s v="Geronimo Mendez"/>
    <n v="221225"/>
    <d v="2025-12-29T10:54:45"/>
    <s v="76780289-7"/>
    <s v="INGETELC MINERIA CHILE LIMITADA"/>
    <x v="8"/>
    <s v="Ventas Local"/>
    <s v="Maiko"/>
    <n v="1721730"/>
    <n v="0"/>
    <n v="0"/>
    <s v="D√©bito"/>
    <s v="En Caja Operacional"/>
    <n v="406117"/>
    <m/>
    <n v="1721730"/>
    <n v="1446831.9327731093"/>
  </r>
  <r>
    <s v="Linares"/>
    <n v="221224"/>
    <d v="2025-12-29T10:40:13"/>
    <s v="66666666-6"/>
    <s v="Cliente LINARES Generico"/>
    <x v="1"/>
    <s v="Linares"/>
    <s v="Eduardo"/>
    <n v="30636"/>
    <n v="0"/>
    <n v="0"/>
    <s v="D√©bito"/>
    <s v="En Caja Operacional"/>
    <n v="623037"/>
    <m/>
    <n v="30636"/>
    <n v="25744.537815126052"/>
  </r>
  <r>
    <s v="Geronimo Mendez"/>
    <n v="221223"/>
    <d v="2025-12-29T10:38:37"/>
    <s v="76351116-2"/>
    <s v="TRANSPORTES BRASNO LIMITADA"/>
    <x v="8"/>
    <s v="Ventas Local"/>
    <s v="SoporteVenta"/>
    <n v="42483"/>
    <n v="0"/>
    <n v="0"/>
    <s v="Transferencia"/>
    <s v="En Caja Operacional"/>
    <n v="110"/>
    <m/>
    <n v="42483"/>
    <n v="35700"/>
  </r>
  <r>
    <s v="Geronimo Mendez"/>
    <n v="221222"/>
    <d v="2025-12-29T10:17:46"/>
    <s v="76935014-4"/>
    <s v="AGUA SODA CHOAPA SPA"/>
    <x v="14"/>
    <s v="Ventas Local"/>
    <s v="SoporteVenta"/>
    <n v="133004"/>
    <n v="0"/>
    <n v="0"/>
    <s v="Transferencia"/>
    <s v="En Caja Operacional"/>
    <n v="331"/>
    <m/>
    <n v="133004"/>
    <n v="111768.06722689077"/>
  </r>
  <r>
    <s v="Antillanca"/>
    <n v="221221"/>
    <d v="2025-12-29T10:14:29"/>
    <s v="12490936-8"/>
    <s v="CLAUDIA ANDREA NARVAEZ"/>
    <x v="10"/>
    <s v="Antillanca"/>
    <s v="Nataly"/>
    <n v="55178"/>
    <n v="0"/>
    <n v="0"/>
    <s v="Transferencia"/>
    <s v="En Caja Operacional"/>
    <n v="325"/>
    <m/>
    <n v="55178"/>
    <n v="46368.067226890758"/>
  </r>
  <r>
    <s v="Ovalle"/>
    <n v="221220"/>
    <d v="2025-12-29T10:05:24"/>
    <s v="66666666-6"/>
    <s v="Cliente OVALLE Generico"/>
    <x v="6"/>
    <s v="Ovalle"/>
    <s v="Emilio"/>
    <n v="52568"/>
    <n v="0"/>
    <n v="0"/>
    <s v="D√©bito"/>
    <s v="En Caja Operacional"/>
    <n v="1397"/>
    <m/>
    <n v="52568"/>
    <n v="44174.789915966387"/>
  </r>
  <r>
    <s v="Linares"/>
    <n v="221219"/>
    <d v="2025-12-29T09:44:25"/>
    <s v="66666666-6"/>
    <s v="Cliente LINARES Generico"/>
    <x v="1"/>
    <s v="Linares"/>
    <s v="Eduardo"/>
    <n v="30611"/>
    <n v="0"/>
    <n v="0"/>
    <s v="Efectivo"/>
    <s v="En Caja Operacional"/>
    <m/>
    <m/>
    <n v="30611"/>
    <n v="25723.529411764706"/>
  </r>
  <r>
    <s v="Ovalle"/>
    <n v="221218"/>
    <d v="2025-12-29T09:36:18"/>
    <s v="77076072-0"/>
    <s v="VERTAL SPA"/>
    <x v="6"/>
    <s v="Ovalle"/>
    <s v="Emilio"/>
    <n v="11691"/>
    <n v="0"/>
    <n v="0"/>
    <s v="Efectivo"/>
    <s v="En Caja Operacional"/>
    <m/>
    <m/>
    <n v="11691"/>
    <n v="9824.3697478991598"/>
  </r>
  <r>
    <s v="Antillanca"/>
    <n v="221217"/>
    <d v="2025-12-29T09:33:04"/>
    <s v="79906540-1"/>
    <s v="CARGO TRADER SPA"/>
    <x v="9"/>
    <s v="Antillanca"/>
    <s v="Nataly"/>
    <n v="2356200"/>
    <n v="0"/>
    <n v="0"/>
    <s v="Transferencia"/>
    <s v="En Caja Operacional"/>
    <n v="320"/>
    <m/>
    <n v="2356200"/>
    <n v="1980000"/>
  </r>
  <r>
    <s v="Linares"/>
    <n v="221216"/>
    <d v="2025-12-29T09:32:38"/>
    <s v="9262987-2"/>
    <s v="EDUARDO ENRIQUE PONCE"/>
    <x v="1"/>
    <s v="Linares"/>
    <s v="Eduardo"/>
    <n v="62003"/>
    <n v="0"/>
    <n v="0"/>
    <s v="Efectivo"/>
    <s v="En Caja Operacional"/>
    <m/>
    <m/>
    <n v="62003"/>
    <n v="52103.361344537814"/>
  </r>
  <r>
    <s v="Antillanca"/>
    <n v="221215"/>
    <d v="2025-12-29T09:31:36"/>
    <s v="79906540-1"/>
    <s v="CARGO TRADER SPA"/>
    <x v="9"/>
    <s v="Antillanca"/>
    <s v="Nataly"/>
    <n v="383161"/>
    <n v="0"/>
    <n v="0"/>
    <s v="Transferencia"/>
    <s v="En Caja Operacional"/>
    <n v="321"/>
    <m/>
    <n v="383161"/>
    <n v="321984.03361344541"/>
  </r>
  <r>
    <s v="Antillanca"/>
    <n v="221214"/>
    <d v="2025-12-29T09:30:09"/>
    <s v="79906540-1"/>
    <s v="CARGO TRADER SPA"/>
    <x v="9"/>
    <s v="Antillanca"/>
    <s v="Nataly"/>
    <n v="1606262"/>
    <n v="0"/>
    <n v="0"/>
    <s v="Transferencia"/>
    <s v="En Caja Operacional"/>
    <n v="322"/>
    <m/>
    <n v="1606262"/>
    <n v="1349800"/>
  </r>
  <r>
    <s v="Antillanca"/>
    <n v="221213"/>
    <d v="2025-12-29T09:26:39"/>
    <s v="12916514-6"/>
    <s v="IVON DEL PILAR GOMEZ"/>
    <x v="12"/>
    <s v="Antillanca"/>
    <s v="Nataly"/>
    <n v="401920"/>
    <n v="0"/>
    <n v="0"/>
    <s v="Transferencia"/>
    <s v="En Caja Operacional"/>
    <n v="183"/>
    <m/>
    <n v="401920"/>
    <n v="337747.89915966388"/>
  </r>
  <r>
    <s v="Antillanca"/>
    <n v="221212"/>
    <d v="2025-12-29T09:24:07"/>
    <s v="16743246-8"/>
    <s v="ALEXY ANDRES IBANEZ"/>
    <x v="12"/>
    <s v="Antillanca"/>
    <s v="Nataly"/>
    <n v="73449"/>
    <n v="0"/>
    <n v="0"/>
    <s v="Transferencia"/>
    <s v="En Caja Operacional"/>
    <n v="149"/>
    <m/>
    <n v="73449"/>
    <n v="61721.848739495799"/>
  </r>
  <r>
    <s v="Antillanca"/>
    <n v="221211"/>
    <d v="2025-12-29T09:20:46"/>
    <s v="16743246-8"/>
    <s v="ALEXY ANDRES IBANEZ"/>
    <x v="12"/>
    <s v="Antillanca"/>
    <s v="Nataly"/>
    <n v="189878"/>
    <n v="0"/>
    <n v="0"/>
    <s v="Transferencia"/>
    <s v="En Caja Operacional"/>
    <n v="150"/>
    <m/>
    <n v="189878"/>
    <n v="159561.34453781514"/>
  </r>
  <r>
    <s v="Antillanca"/>
    <n v="221210"/>
    <d v="2025-12-29T09:05:13"/>
    <s v="16743246-8"/>
    <s v="ALEXY ANDRES IBANEZ"/>
    <x v="12"/>
    <s v="Antillanca"/>
    <s v="Nataly"/>
    <n v="65258"/>
    <n v="0"/>
    <n v="0"/>
    <s v="Transferencia"/>
    <s v="En Caja Operacional"/>
    <n v="151"/>
    <m/>
    <n v="65258"/>
    <n v="54838.655462184877"/>
  </r>
  <r>
    <s v="Antillanca"/>
    <n v="221209"/>
    <d v="2025-12-29T09:03:09"/>
    <s v="16743246-8"/>
    <s v="ALEXY ANDRES IBANEZ"/>
    <x v="12"/>
    <s v="Antillanca"/>
    <s v="Nataly"/>
    <n v="54929"/>
    <n v="0"/>
    <n v="0"/>
    <s v="Transferencia"/>
    <s v="En Caja Operacional"/>
    <n v="237"/>
    <m/>
    <n v="54929"/>
    <n v="46158.823529411769"/>
  </r>
  <r>
    <s v="Antillanca"/>
    <n v="221208"/>
    <d v="2025-12-29T09:01:16"/>
    <s v="77369904-6"/>
    <s v="SERVICIOS AUTOMOTRICES INTEGRALES ISMAEL REINADO GONZALEZ E I R L"/>
    <x v="12"/>
    <s v="Antillanca"/>
    <s v="Nataly"/>
    <n v="52550"/>
    <n v="0"/>
    <n v="0"/>
    <s v="Transferencia"/>
    <s v="En Caja Operacional"/>
    <n v="89"/>
    <m/>
    <n v="52550"/>
    <n v="44159.663865546223"/>
  </r>
  <r>
    <s v="Antillanca"/>
    <n v="221207"/>
    <d v="2025-12-29T08:49:47"/>
    <s v="99528240-2"/>
    <s v="INVERSIONES QUILLEN SPA"/>
    <x v="13"/>
    <s v="Antillanca"/>
    <s v="Nataly"/>
    <n v="110356"/>
    <n v="0"/>
    <n v="0"/>
    <s v="Transferencia"/>
    <s v="En Caja Operacional"/>
    <n v="170"/>
    <m/>
    <n v="110356"/>
    <n v="92736.134453781517"/>
  </r>
  <r>
    <s v="Linares"/>
    <n v="221206"/>
    <d v="2025-12-27T13:35:01"/>
    <s v="66666666-6"/>
    <s v="Cliente LINARES Generico"/>
    <x v="1"/>
    <s v="Linares"/>
    <s v="Eduardo"/>
    <n v="31000"/>
    <n v="0"/>
    <n v="261"/>
    <s v="D√©bito"/>
    <s v="En Caja Operacional"/>
    <n v="416535"/>
    <m/>
    <n v="31000"/>
    <n v="26050.420168067227"/>
  </r>
  <r>
    <s v="Linares"/>
    <n v="221205"/>
    <d v="2025-12-27T12:45:50"/>
    <s v="66666666-6"/>
    <s v="Cliente LINARES Generico"/>
    <x v="1"/>
    <s v="Linares"/>
    <s v="Eduardo"/>
    <n v="60248"/>
    <n v="0"/>
    <n v="0"/>
    <s v="D√©bito"/>
    <s v="En Caja Operacional"/>
    <n v="502399"/>
    <m/>
    <n v="60248"/>
    <n v="50628.571428571428"/>
  </r>
  <r>
    <s v="Ovalle"/>
    <n v="221204"/>
    <d v="2025-12-27T12:40:49"/>
    <s v="66666666-6"/>
    <s v="Cliente OVALLE Generico"/>
    <x v="6"/>
    <s v="Ovalle"/>
    <s v="Emilio"/>
    <n v="30122"/>
    <n v="0"/>
    <n v="0"/>
    <s v="D√©bito"/>
    <s v="En Caja Operacional"/>
    <n v="157341"/>
    <m/>
    <n v="30122"/>
    <n v="25312.605042016807"/>
  </r>
  <r>
    <s v="Linares"/>
    <n v="221203"/>
    <d v="2025-12-27T12:31:39"/>
    <s v="66666666-6"/>
    <s v="Cliente LINARES Generico"/>
    <x v="1"/>
    <s v="Linares"/>
    <s v="Eduardo"/>
    <n v="30965"/>
    <n v="0"/>
    <n v="0"/>
    <s v="D√©bito"/>
    <s v="En Caja Operacional"/>
    <n v="106169"/>
    <m/>
    <n v="30965"/>
    <n v="26021.008403361346"/>
  </r>
  <r>
    <s v="Rojas Magallanes"/>
    <n v="221202"/>
    <d v="2025-12-27T12:26:59"/>
    <s v="66666666-6"/>
    <s v="Cliente ROJAS MAGALLANES Generico"/>
    <x v="5"/>
    <s v="Rojas Magallanes"/>
    <s v="Marisol"/>
    <n v="44868"/>
    <n v="0"/>
    <n v="0"/>
    <s v="Cr√©dito"/>
    <s v="En Caja Operacional"/>
    <n v="366689"/>
    <m/>
    <n v="44868"/>
    <n v="37704.201680672268"/>
  </r>
  <r>
    <s v="Ovalle"/>
    <n v="221201"/>
    <d v="2025-12-27T12:22:26"/>
    <s v="12569531-0"/>
    <s v="EMILIO SANTOS"/>
    <x v="6"/>
    <s v="Ovalle"/>
    <s v="Emilio"/>
    <n v="36725"/>
    <n v="0"/>
    <n v="0"/>
    <s v="D√©bito"/>
    <s v="En Caja Operacional"/>
    <n v="129471"/>
    <m/>
    <n v="36725"/>
    <n v="30861.344537815126"/>
  </r>
  <r>
    <s v="Antillanca"/>
    <n v="221200"/>
    <d v="2025-12-27T12:00:33"/>
    <s v="13835232-3"/>
    <s v="JAIME MAURICIO  PONTIGO"/>
    <x v="12"/>
    <s v="Antillanca"/>
    <s v="Nataly"/>
    <n v="180587"/>
    <n v="0"/>
    <n v="0"/>
    <s v="Transferencia"/>
    <s v="En Caja Operacional"/>
    <n v="172"/>
    <m/>
    <n v="180587"/>
    <n v="151753.78151260506"/>
  </r>
  <r>
    <s v="Linares"/>
    <n v="221199"/>
    <d v="2025-12-27T11:56:24"/>
    <s v="9429781-8"/>
    <s v="OSCAR FERNANDEZ"/>
    <x v="8"/>
    <s v="Linares"/>
    <s v="Eduardo"/>
    <n v="104870"/>
    <n v="0"/>
    <n v="0"/>
    <s v="Efectivo"/>
    <s v="En Caja Operacional"/>
    <m/>
    <m/>
    <n v="104870"/>
    <n v="88126.050420168074"/>
  </r>
  <r>
    <s v="Linares"/>
    <n v="221198"/>
    <d v="2025-12-27T11:52:55"/>
    <s v="66666666-6"/>
    <s v="Cliente LINARES Generico"/>
    <x v="1"/>
    <s v="Linares"/>
    <s v="Eduardo"/>
    <n v="19180"/>
    <n v="0"/>
    <n v="0"/>
    <s v="D√©bito"/>
    <s v="En Caja Operacional"/>
    <n v="639636"/>
    <m/>
    <n v="19180"/>
    <n v="16117.64705882353"/>
  </r>
  <r>
    <s v="Ovalle"/>
    <n v="221197"/>
    <d v="2025-12-27T11:30:57"/>
    <s v="66666666-6"/>
    <s v="Cliente OVALLE Generico"/>
    <x v="6"/>
    <s v="Ovalle"/>
    <s v="Emilio"/>
    <n v="52094"/>
    <n v="0"/>
    <n v="0"/>
    <s v="Cr√©dito"/>
    <s v="En Caja Operacional"/>
    <n v="275374"/>
    <m/>
    <n v="52094"/>
    <n v="43776.470588235294"/>
  </r>
  <r>
    <s v="Rojas Magallanes"/>
    <n v="221196"/>
    <d v="2025-12-27T11:23:17"/>
    <s v="66666666-6"/>
    <s v="Cliente ROJAS MAGALLANES Generico"/>
    <x v="5"/>
    <s v="Rojas Magallanes"/>
    <s v="Marisol"/>
    <n v="30739"/>
    <n v="0"/>
    <n v="0"/>
    <s v="Cr√©dito"/>
    <s v="En Caja Operacional"/>
    <n v="224954"/>
    <m/>
    <n v="30739"/>
    <n v="25831.092436974792"/>
  </r>
  <r>
    <s v="Linares"/>
    <n v="221195"/>
    <d v="2025-12-27T11:22:15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Rojas Magallanes"/>
    <n v="221194"/>
    <d v="2025-12-27T11:18:51"/>
    <s v="7257394-3"/>
    <s v="EDUARDO RODRIGUEZ"/>
    <x v="5"/>
    <s v="Rojas Magallanes"/>
    <s v="Marisol"/>
    <n v="8730"/>
    <n v="0"/>
    <n v="0"/>
    <s v="D√©bito"/>
    <s v="En Caja Operacional"/>
    <n v="173551"/>
    <m/>
    <n v="8730"/>
    <n v="7336.134453781513"/>
  </r>
  <r>
    <s v="Linares"/>
    <n v="221194"/>
    <d v="2025-12-27T11:18:12"/>
    <s v="9262987-2"/>
    <s v="EDUARDO ENRIQUE PONCE"/>
    <x v="1"/>
    <s v="Linares"/>
    <s v="Eduardo"/>
    <n v="64962"/>
    <n v="0"/>
    <n v="0"/>
    <s v="Efectivo"/>
    <s v="En Caja Operacional"/>
    <m/>
    <m/>
    <n v="462"/>
    <n v="388.23529411764707"/>
  </r>
  <r>
    <s v="Linares"/>
    <n v="221194"/>
    <d v="2025-12-27T11:18:12"/>
    <s v="9262987-2"/>
    <s v="EDUARDO ENRIQUE PONCE"/>
    <x v="1"/>
    <s v="Linares"/>
    <s v="Eduardo"/>
    <n v="64962"/>
    <n v="0"/>
    <n v="0"/>
    <s v="D√©bito"/>
    <s v="En Caja Operacional"/>
    <n v="430641"/>
    <m/>
    <n v="64500"/>
    <n v="54201.680672268907"/>
  </r>
  <r>
    <s v="Geronimo Mendez"/>
    <n v="221194"/>
    <d v="2025-12-27T11:16:39"/>
    <s v="77331017-3"/>
    <s v="SERVICIOS INTEGRALES DE MECANICA AUTOMOTRIZ SPA"/>
    <x v="14"/>
    <s v="Ventas Local"/>
    <s v="SoporteVenta"/>
    <n v="32825"/>
    <n v="0"/>
    <n v="0"/>
    <s v="Cr√©dito"/>
    <s v="En Caja Operacional"/>
    <n v="258177"/>
    <m/>
    <n v="32825"/>
    <n v="27584.033613445379"/>
  </r>
  <r>
    <s v="Ovalle"/>
    <n v="221193"/>
    <d v="2025-12-27T11:08:13"/>
    <s v="66666666-6"/>
    <s v="Cliente OVALLE Generico"/>
    <x v="6"/>
    <s v="Ovalle"/>
    <s v="Emilio"/>
    <n v="46474"/>
    <n v="0"/>
    <n v="0"/>
    <s v="Efectivo"/>
    <s v="En Caja Operacional"/>
    <m/>
    <m/>
    <n v="46474"/>
    <n v="39053.781512605041"/>
  </r>
  <r>
    <s v="Geronimo Mendez"/>
    <n v="221192"/>
    <d v="2025-12-27T11:07:11"/>
    <s v="66666666-6"/>
    <s v="Cliente GERONIMO MENDEZ Generico"/>
    <x v="8"/>
    <s v="Ventas Local"/>
    <s v="Maiko"/>
    <n v="30636"/>
    <n v="0"/>
    <n v="0"/>
    <s v="Cr√©dito"/>
    <s v="En Caja Operacional"/>
    <n v="261305"/>
    <m/>
    <n v="30636"/>
    <n v="25744.537815126052"/>
  </r>
  <r>
    <s v="Geronimo Mendez"/>
    <n v="221191"/>
    <d v="2025-12-27T11:04:18"/>
    <s v="6276438-4"/>
    <s v="IVAR TORRES"/>
    <x v="8"/>
    <s v="Ventas Local"/>
    <s v="Maiko"/>
    <n v="120009"/>
    <n v="0"/>
    <n v="0"/>
    <s v="Efectivo"/>
    <s v="En Caja Operacional"/>
    <m/>
    <m/>
    <n v="105009"/>
    <n v="88242.857142857145"/>
  </r>
  <r>
    <s v="Geronimo Mendez"/>
    <n v="221191"/>
    <d v="2025-12-27T11:04:18"/>
    <s v="6276438-4"/>
    <s v="IVAR TORRES"/>
    <x v="8"/>
    <s v="Ventas Local"/>
    <s v="Maiko"/>
    <n v="120009"/>
    <n v="0"/>
    <n v="0"/>
    <s v="D√©bito"/>
    <s v="En Caja Operacional"/>
    <n v="537512"/>
    <m/>
    <n v="15000"/>
    <n v="12605.042016806723"/>
  </r>
  <r>
    <s v="Rojas Magallanes"/>
    <n v="221190"/>
    <d v="2025-12-27T10:57:47"/>
    <s v="66666666-6"/>
    <s v="Cliente ROJAS MAGALLANES Generico"/>
    <x v="5"/>
    <s v="Rojas Magallanes"/>
    <s v="Marisol"/>
    <n v="52152"/>
    <n v="0"/>
    <n v="0"/>
    <s v="D√©bito"/>
    <s v="En Caja Operacional"/>
    <n v="441427"/>
    <m/>
    <n v="52152"/>
    <n v="43825.210084033613"/>
  </r>
  <r>
    <s v="Ovalle"/>
    <n v="221189"/>
    <d v="2025-12-27T10:43:13"/>
    <s v="66666666-6"/>
    <s v="Cliente OVALLE Generico"/>
    <x v="6"/>
    <s v="Ovalle"/>
    <s v="Emilio"/>
    <n v="30739"/>
    <n v="0"/>
    <n v="0"/>
    <s v="D√©bito"/>
    <s v="En Caja Operacional"/>
    <n v="248997"/>
    <m/>
    <n v="30739"/>
    <n v="25831.092436974792"/>
  </r>
  <r>
    <s v="Rojas Magallanes"/>
    <n v="221188"/>
    <d v="2025-12-27T10:36:24"/>
    <s v="66666666-6"/>
    <s v="Cliente ROJAS MAGALLANES Generico"/>
    <x v="5"/>
    <s v="Rojas Magallanes"/>
    <s v="Marisol"/>
    <n v="47241"/>
    <n v="0"/>
    <n v="0"/>
    <s v="D√©bito"/>
    <s v="En Caja Operacional"/>
    <n v="2919"/>
    <m/>
    <n v="47241"/>
    <n v="39698.319327731093"/>
  </r>
  <r>
    <s v="Geronimo Mendez"/>
    <n v="221187"/>
    <d v="2025-12-27T10:31:46"/>
    <s v="77849029-3"/>
    <s v="TRANSPORTES EXPRESSO IGNACIO SPA"/>
    <x v="8"/>
    <s v="Ventas Local"/>
    <s v="Maiko"/>
    <n v="24990"/>
    <n v="0"/>
    <n v="0"/>
    <s v="D√©bito"/>
    <s v="En Caja Operacional"/>
    <n v="3995"/>
    <m/>
    <n v="24990"/>
    <n v="21000"/>
  </r>
  <r>
    <s v="Geronimo Mendez"/>
    <n v="221186"/>
    <d v="2025-12-27T10:15:35"/>
    <s v="16412525-4"/>
    <s v="MARCELO TRONCOSO"/>
    <x v="15"/>
    <s v="Ventas Local"/>
    <s v="SoporteVenta"/>
    <n v="46914"/>
    <n v="0"/>
    <n v="0"/>
    <s v="D√©bito"/>
    <s v="En Caja Operacional"/>
    <n v="456871"/>
    <m/>
    <n v="46914"/>
    <n v="39423.529411764706"/>
  </r>
  <r>
    <s v="Ovalle"/>
    <n v="221185"/>
    <d v="2025-12-27T10:11:50"/>
    <s v="77903917-K"/>
    <s v="TRANSPORTES ZA SPA"/>
    <x v="6"/>
    <s v="Ovalle"/>
    <s v="Emilio"/>
    <n v="96645"/>
    <n v="0"/>
    <n v="0"/>
    <s v="D√©bito"/>
    <s v="En Caja Operacional"/>
    <n v="116826"/>
    <m/>
    <n v="96645"/>
    <n v="81214.285714285725"/>
  </r>
  <r>
    <s v="Geronimo Mendez"/>
    <n v="221184"/>
    <d v="2025-12-27T09:54:03"/>
    <s v="76367317-0"/>
    <s v="SOCIEDAD DE TRANSPORTES EDMUNDO GRES LIMITADA"/>
    <x v="0"/>
    <s v="Ventas Local"/>
    <s v="Maiko"/>
    <n v="631890"/>
    <n v="0"/>
    <n v="0"/>
    <s v="Cheque"/>
    <s v="En Caja Operacional"/>
    <n v="4540421"/>
    <d v="2026-01-27T00:00:00"/>
    <n v="231890"/>
    <n v="194865.5462184874"/>
  </r>
  <r>
    <s v="Geronimo Mendez"/>
    <n v="221184"/>
    <d v="2025-12-27T09:54:03"/>
    <s v="76367317-0"/>
    <s v="SOCIEDAD DE TRANSPORTES EDMUNDO GRES LIMITADA"/>
    <x v="0"/>
    <s v="Ventas Local"/>
    <s v="Maiko"/>
    <n v="631890"/>
    <n v="0"/>
    <n v="0"/>
    <s v="Cheque"/>
    <s v="En Caja Operacional"/>
    <n v="4540422"/>
    <d v="2026-02-27T00:00:00"/>
    <n v="200000"/>
    <n v="168067.22689075631"/>
  </r>
  <r>
    <s v="Geronimo Mendez"/>
    <n v="221184"/>
    <d v="2025-12-27T09:54:03"/>
    <s v="76367317-0"/>
    <s v="SOCIEDAD DE TRANSPORTES EDMUNDO GRES LIMITADA"/>
    <x v="0"/>
    <s v="Ventas Local"/>
    <s v="Maiko"/>
    <n v="631890"/>
    <n v="0"/>
    <n v="0"/>
    <s v="Cheque"/>
    <s v="En Caja Operacional"/>
    <n v="4540423"/>
    <d v="2026-03-27T00:00:00"/>
    <n v="200000"/>
    <n v="168067.22689075631"/>
  </r>
  <r>
    <s v="Linares"/>
    <n v="221183"/>
    <d v="2025-12-27T09:39:46"/>
    <s v="66666666-6"/>
    <s v="Cliente LINARES Generico"/>
    <x v="1"/>
    <s v="Linares"/>
    <s v="Eduardo"/>
    <n v="42521"/>
    <n v="0"/>
    <n v="0"/>
    <s v="Efectivo"/>
    <s v="En Caja Operacional"/>
    <m/>
    <m/>
    <n v="42521"/>
    <n v="35731.932773109242"/>
  </r>
  <r>
    <s v="Linares"/>
    <n v="221182"/>
    <d v="2025-12-27T09:37:19"/>
    <s v="66666666-6"/>
    <s v="Cliente LINARES Generico"/>
    <x v="1"/>
    <s v="Linares"/>
    <s v="Eduardo"/>
    <n v="284520"/>
    <n v="0"/>
    <n v="0"/>
    <s v="Efectivo"/>
    <s v="En Caja Operacional"/>
    <m/>
    <m/>
    <n v="284520"/>
    <n v="239092.43697478992"/>
  </r>
  <r>
    <s v="Geronimo Mendez"/>
    <n v="221181"/>
    <d v="2025-12-27T09:29:20"/>
    <s v="77215581-6"/>
    <s v="TRANSPORTES CATALINA SPA"/>
    <x v="14"/>
    <s v="Ventas Local"/>
    <s v="Maiko"/>
    <n v="722548"/>
    <n v="0"/>
    <n v="0"/>
    <s v="Transferencia"/>
    <s v="En Caja Operacional"/>
    <n v="276671"/>
    <m/>
    <n v="722548"/>
    <n v="607183.19327731093"/>
  </r>
  <r>
    <s v="Geronimo Mendez"/>
    <n v="221180"/>
    <d v="2025-12-27T09:24:34"/>
    <s v="78158781-8"/>
    <s v="INCIMMET-RECOMIN SM SPA"/>
    <x v="14"/>
    <s v="Ventas Local"/>
    <s v="SoporteVenta"/>
    <n v="166249"/>
    <n v="0"/>
    <n v="0"/>
    <s v="Transferencia"/>
    <s v="En Caja Operacional"/>
    <n v="276670"/>
    <m/>
    <n v="166249"/>
    <n v="139705.04201680672"/>
  </r>
  <r>
    <s v="Linares"/>
    <n v="221179"/>
    <d v="2025-12-27T09:21:33"/>
    <s v="9262987-2"/>
    <s v="EDUARDO ENRIQUE PONCE"/>
    <x v="1"/>
    <s v="Linares"/>
    <s v="Eduardo"/>
    <n v="25596"/>
    <n v="0"/>
    <n v="0"/>
    <s v="D√©bito"/>
    <s v="En Caja Operacional"/>
    <n v="58020"/>
    <m/>
    <n v="25596"/>
    <n v="21509.243697478993"/>
  </r>
  <r>
    <s v="Geronimo Mendez"/>
    <n v="221178"/>
    <d v="2025-12-27T09:10:51"/>
    <s v="6846711-K"/>
    <s v="CECILIA RUBINA"/>
    <x v="4"/>
    <s v="Ventas Local"/>
    <s v="SoporteVenta"/>
    <n v="335780"/>
    <n v="0"/>
    <n v="0"/>
    <s v="Cheque"/>
    <s v="En Caja Operacional"/>
    <n v="8510527"/>
    <d v="2026-01-18T00:00:00"/>
    <n v="335780"/>
    <n v="282168.06722689077"/>
  </r>
  <r>
    <s v="Geronimo Mendez"/>
    <n v="221177"/>
    <d v="2025-12-27T08:45:57"/>
    <s v="76472623-5"/>
    <s v="G Y G MINERIA Y SERVICIOS SPA"/>
    <x v="14"/>
    <s v="Ventas Local"/>
    <s v="SoporteVenta"/>
    <n v="161092"/>
    <n v="0"/>
    <n v="0"/>
    <s v="Transferencia"/>
    <s v="En Caja Operacional"/>
    <n v="319"/>
    <m/>
    <n v="161092"/>
    <n v="135371.42857142858"/>
  </r>
  <r>
    <s v="Rojas Magallanes"/>
    <n v="221176"/>
    <d v="2025-12-26T17:46:16"/>
    <s v="76581249-6"/>
    <s v="SERVICIOS MECANICOS ALEJANDRA GLADYS CARRIZO ZUNIGA E I R L"/>
    <x v="5"/>
    <s v="Rojas Magallanes"/>
    <s v="Marisol"/>
    <n v="149476"/>
    <n v="0"/>
    <n v="0"/>
    <s v="Transferencia"/>
    <s v="En Caja Operacional"/>
    <n v="257245"/>
    <m/>
    <n v="149476"/>
    <n v="125610.08403361346"/>
  </r>
  <r>
    <s v="Linares"/>
    <n v="221175"/>
    <d v="2025-12-26T17:43:14"/>
    <s v="66666666-6"/>
    <s v="Cliente LINARES Generico"/>
    <x v="1"/>
    <s v="Linares"/>
    <s v="Eduardo"/>
    <n v="30611"/>
    <n v="0"/>
    <n v="0"/>
    <s v="D√©bito"/>
    <s v="En Caja Operacional"/>
    <n v="136525"/>
    <m/>
    <n v="30611"/>
    <n v="25723.529411764706"/>
  </r>
  <r>
    <s v="Linares"/>
    <n v="221174"/>
    <d v="2025-12-26T17:32:20"/>
    <s v="66666666-6"/>
    <s v="Cliente LINARES Generico"/>
    <x v="1"/>
    <s v="Linares"/>
    <s v="Eduardo"/>
    <n v="37296"/>
    <n v="0"/>
    <n v="0"/>
    <s v="Cr√©dito"/>
    <s v="En Caja Operacional"/>
    <n v="312964"/>
    <m/>
    <n v="37296"/>
    <n v="31341.176470588238"/>
  </r>
  <r>
    <s v="Rojas Magallanes"/>
    <n v="221173"/>
    <d v="2025-12-26T17:27:22"/>
    <s v="76495857-8"/>
    <s v="AUTO MOTO REPUESTOS LIMITADA"/>
    <x v="5"/>
    <s v="Rojas Magallanes"/>
    <s v="Marisol"/>
    <n v="176050"/>
    <n v="0"/>
    <n v="0"/>
    <s v="D√©bito"/>
    <s v="En Caja Operacional"/>
    <n v="360234"/>
    <m/>
    <n v="176050"/>
    <n v="147941.17647058825"/>
  </r>
  <r>
    <s v="Linares"/>
    <n v="221172"/>
    <d v="2025-12-26T17:24:52"/>
    <s v="11823846-K"/>
    <s v="ADOLFO AGUIRRE"/>
    <x v="4"/>
    <s v="Linares"/>
    <s v="Eduardo"/>
    <n v="36457"/>
    <n v="0"/>
    <n v="0"/>
    <s v="D√©bito"/>
    <s v="En Caja Operacional"/>
    <n v="203896"/>
    <m/>
    <n v="36457"/>
    <n v="30636.134453781513"/>
  </r>
  <r>
    <s v="Geronimo Mendez"/>
    <n v="221171"/>
    <d v="2025-12-26T17:17:48"/>
    <s v="16412525-4"/>
    <s v="MARCELO TRONCOSO"/>
    <x v="15"/>
    <s v="Ventas Local"/>
    <s v="SoporteVenta"/>
    <n v="50820"/>
    <n v="0"/>
    <n v="0"/>
    <s v="D√©bito"/>
    <s v="En Caja Operacional"/>
    <n v="701278"/>
    <m/>
    <n v="50820"/>
    <n v="42705.882352941175"/>
  </r>
  <r>
    <s v="Linares"/>
    <n v="221170"/>
    <d v="2025-12-26T17:08:28"/>
    <s v="66666666-6"/>
    <s v="Cliente LINARES Generico"/>
    <x v="1"/>
    <s v="Linares"/>
    <s v="Eduardo"/>
    <n v="32242"/>
    <n v="0"/>
    <n v="0"/>
    <s v="Efectivo"/>
    <s v="En Caja Operacional"/>
    <m/>
    <m/>
    <n v="32242"/>
    <n v="27094.117647058825"/>
  </r>
  <r>
    <s v="Geronimo Mendez"/>
    <n v="221169"/>
    <d v="2025-12-26T16:57:41"/>
    <s v="78073814-6"/>
    <s v="TRANSPORTES MYJ SPA"/>
    <x v="8"/>
    <s v="Ventas Local"/>
    <s v="SoporteVenta"/>
    <n v="7871"/>
    <n v="0"/>
    <n v="0"/>
    <s v="Efectivo"/>
    <s v="En Caja Operacional"/>
    <m/>
    <m/>
    <n v="7871"/>
    <n v="6614.2857142857147"/>
  </r>
  <r>
    <s v="Geronimo Mendez"/>
    <n v="221168"/>
    <d v="2025-12-26T16:52:40"/>
    <s v="77104485-9"/>
    <s v="COMERCIAL Y SERVICIOS NEMBUS SPA"/>
    <x v="0"/>
    <s v="Contraloria"/>
    <s v="Selene"/>
    <n v="2168268"/>
    <n v="0"/>
    <n v="0"/>
    <s v="Cheque"/>
    <s v="En Caja Operacional"/>
    <n v="2967747"/>
    <d v="2025-12-30T00:00:00"/>
    <n v="700000"/>
    <n v="588235.29411764711"/>
  </r>
  <r>
    <s v="Geronimo Mendez"/>
    <n v="221168"/>
    <d v="2025-12-26T16:52:40"/>
    <s v="77104485-9"/>
    <s v="COMERCIAL Y SERVICIOS NEMBUS SPA"/>
    <x v="0"/>
    <s v="Contraloria"/>
    <s v="Selene"/>
    <n v="2168268"/>
    <n v="0"/>
    <n v="0"/>
    <s v="Cheque"/>
    <s v="En Caja Operacional"/>
    <n v="2967748"/>
    <d v="2026-01-15T00:00:00"/>
    <n v="700000"/>
    <n v="588235.29411764711"/>
  </r>
  <r>
    <s v="Geronimo Mendez"/>
    <n v="221168"/>
    <d v="2025-12-26T16:52:40"/>
    <s v="77104485-9"/>
    <s v="COMERCIAL Y SERVICIOS NEMBUS SPA"/>
    <x v="0"/>
    <s v="Contraloria"/>
    <s v="Selene"/>
    <n v="2168268"/>
    <n v="0"/>
    <n v="0"/>
    <s v="Cheque"/>
    <s v="En Caja Operacional"/>
    <n v="2967749"/>
    <d v="2026-01-31T00:00:00"/>
    <n v="768268"/>
    <n v="645603.36134453781"/>
  </r>
  <r>
    <s v="Rojas Magallanes"/>
    <n v="221167"/>
    <d v="2025-12-26T16:35:02"/>
    <s v="66666666-6"/>
    <s v="Cliente ROJAS MAGALLANES Generico"/>
    <x v="5"/>
    <s v="Rojas Magallanes"/>
    <s v="Marisol"/>
    <n v="37654"/>
    <n v="0"/>
    <n v="0"/>
    <s v="D√©bito"/>
    <s v="En Caja Operacional"/>
    <n v="9691"/>
    <m/>
    <n v="37654"/>
    <n v="31642.016806722691"/>
  </r>
  <r>
    <s v="Geronimo Mendez"/>
    <n v="221166"/>
    <d v="2025-12-26T16:26:48"/>
    <s v="3376926-1"/>
    <s v="EDGARDO ASTUDILLO"/>
    <x v="4"/>
    <s v="Contraloria"/>
    <s v="Selene"/>
    <n v="1507400"/>
    <n v="0"/>
    <n v="0"/>
    <s v="Cheque"/>
    <s v="En Caja Operacional"/>
    <n v="6096"/>
    <d v="2025-12-25T00:00:00"/>
    <n v="899393"/>
    <n v="755792.43697478995"/>
  </r>
  <r>
    <s v="Geronimo Mendez"/>
    <n v="221166"/>
    <d v="2025-12-26T16:26:48"/>
    <s v="3376926-1"/>
    <s v="EDGARDO ASTUDILLO"/>
    <x v="4"/>
    <s v="Contraloria"/>
    <s v="Selene"/>
    <n v="1507400"/>
    <n v="0"/>
    <n v="0"/>
    <s v="Cheque"/>
    <s v="En Caja Operacional"/>
    <n v="6101"/>
    <d v="2026-01-03T00:00:00"/>
    <n v="608007"/>
    <n v="510930.25210084039"/>
  </r>
  <r>
    <s v="Rojas Magallanes"/>
    <n v="221165"/>
    <d v="2025-12-26T16:22:43"/>
    <s v="12887970-6"/>
    <s v="CELSO SAMUEL MIRANDA"/>
    <x v="3"/>
    <s v="Rojas Magallanes"/>
    <s v="Marisol"/>
    <n v="149152"/>
    <n v="0"/>
    <n v="0"/>
    <s v="Cr√©dito"/>
    <s v="En Caja Operacional"/>
    <n v="554251"/>
    <m/>
    <n v="149152"/>
    <n v="125337.81512605042"/>
  </r>
  <r>
    <s v="Linares"/>
    <n v="221164"/>
    <d v="2025-12-26T16:09:04"/>
    <s v="66666666-6"/>
    <s v="Cliente LINARES Generico"/>
    <x v="1"/>
    <s v="Linares"/>
    <s v="Eduardo"/>
    <n v="45707"/>
    <n v="0"/>
    <n v="0"/>
    <s v="D√©bito"/>
    <s v="En Caja Operacional"/>
    <n v="28163"/>
    <m/>
    <n v="45707"/>
    <n v="38409.243697478996"/>
  </r>
  <r>
    <s v="Geronimo Mendez"/>
    <n v="221163"/>
    <d v="2025-12-26T16:07:03"/>
    <s v="76284404-4"/>
    <s v="CLAUDIO ELSON SANTOS YAVAR VELSA LUBRICANTES E I R L"/>
    <x v="4"/>
    <s v="Contraloria"/>
    <s v="Selene"/>
    <n v="3534346"/>
    <n v="0"/>
    <n v="0"/>
    <s v="Cheque"/>
    <s v="En Caja Operacional"/>
    <n v="3693"/>
    <d v="2025-12-13T00:00:00"/>
    <n v="3534346"/>
    <n v="2970038.6554621849"/>
  </r>
  <r>
    <s v="Linares"/>
    <n v="221162"/>
    <d v="2025-12-26T16:06:09"/>
    <s v="66666666-6"/>
    <s v="Cliente LINARES Generico"/>
    <x v="1"/>
    <s v="Linares"/>
    <s v="Eduardo"/>
    <n v="51103"/>
    <n v="0"/>
    <n v="0"/>
    <s v="Cr√©dito"/>
    <s v="En Caja Operacional"/>
    <n v="570235"/>
    <m/>
    <n v="51103"/>
    <n v="42943.697478991598"/>
  </r>
  <r>
    <s v="Antillanca"/>
    <n v="221161"/>
    <d v="2025-12-26T16:04:03"/>
    <s v="81906800-3"/>
    <s v="SCHUFTAN HERMANOS Y COMPANIA LIMITADA"/>
    <x v="13"/>
    <s v="Antillanca"/>
    <s v="Nataly"/>
    <n v="165899"/>
    <n v="0"/>
    <n v="0"/>
    <s v="Transferencia"/>
    <s v="En Caja Operacional"/>
    <n v="175"/>
    <m/>
    <n v="165899"/>
    <n v="139410.9243697479"/>
  </r>
  <r>
    <s v="Antillanca"/>
    <n v="221160"/>
    <d v="2025-12-26T15:59:08"/>
    <s v="76986807-0"/>
    <s v="ELABORACION DE HORMIGONES PREMEZCLADOS ELADIO GUILLERMO BUSTAMANTE OLI"/>
    <x v="9"/>
    <s v="Antillanca"/>
    <s v="Nataly"/>
    <n v="490199"/>
    <n v="0"/>
    <n v="0"/>
    <s v="Transferencia"/>
    <s v="En Caja Operacional"/>
    <n v="317"/>
    <m/>
    <n v="490199"/>
    <n v="411931.93277310923"/>
  </r>
  <r>
    <s v="Ovalle"/>
    <n v="221159"/>
    <d v="2025-12-26T15:45:27"/>
    <s v="8917200-4"/>
    <s v="hector villalobos"/>
    <x v="6"/>
    <s v="Ovalle"/>
    <s v="Emilio"/>
    <n v="183419"/>
    <n v="0"/>
    <n v="0"/>
    <s v="Efectivo"/>
    <s v="En Caja Operacional"/>
    <m/>
    <m/>
    <n v="183419"/>
    <n v="154133.61344537817"/>
  </r>
  <r>
    <s v="Geronimo Mendez"/>
    <n v="221158"/>
    <d v="2025-12-26T15:35:44"/>
    <s v="84214300-4"/>
    <s v="JOSE PIAZZOLI E HIJOS Y CIA."/>
    <x v="4"/>
    <s v="Contraloria"/>
    <s v="Selene"/>
    <n v="275383"/>
    <n v="0"/>
    <n v="0"/>
    <s v="Cheque"/>
    <s v="En Caja Operacional"/>
    <n v="9386353"/>
    <d v="2025-12-13T00:00:00"/>
    <n v="155844"/>
    <n v="130961.34453781514"/>
  </r>
  <r>
    <s v="Geronimo Mendez"/>
    <n v="221158"/>
    <d v="2025-12-26T15:35:44"/>
    <s v="84214300-4"/>
    <s v="JOSE PIAZZOLI E HIJOS Y CIA."/>
    <x v="4"/>
    <s v="Contraloria"/>
    <s v="Selene"/>
    <n v="275383"/>
    <n v="0"/>
    <n v="0"/>
    <s v="Cheque"/>
    <s v="En Caja Operacional"/>
    <n v="9386354"/>
    <d v="2025-12-17T00:00:00"/>
    <n v="119539"/>
    <n v="100452.94117647059"/>
  </r>
  <r>
    <s v="Rojas Magallanes"/>
    <n v="221157"/>
    <d v="2025-12-26T15:34:20"/>
    <s v="66666666-6"/>
    <s v="Cliente ROJAS MAGALLANES Generico"/>
    <x v="5"/>
    <s v="Rojas Magallanes"/>
    <s v="Marisol"/>
    <n v="325716"/>
    <n v="0"/>
    <n v="0"/>
    <s v="Cr√©dito"/>
    <s v="En Caja Operacional"/>
    <n v="38789"/>
    <m/>
    <n v="325716"/>
    <n v="273710.92436974793"/>
  </r>
  <r>
    <s v="Linares"/>
    <n v="221156"/>
    <d v="2025-12-26T15:32:32"/>
    <s v="66666666-6"/>
    <s v="Cliente LINARES Generico"/>
    <x v="1"/>
    <s v="Linares"/>
    <s v="Eduardo"/>
    <n v="47016"/>
    <n v="0"/>
    <n v="0"/>
    <s v="D√©bito"/>
    <s v="En Caja Operacional"/>
    <n v="154834"/>
    <m/>
    <n v="47016"/>
    <n v="39509.243697478996"/>
  </r>
  <r>
    <s v="Geronimo Mendez"/>
    <n v="221155"/>
    <d v="2025-12-26T15:28:37"/>
    <s v="77286158-3"/>
    <s v="LUBRICENTRO KAFMA SPA"/>
    <x v="2"/>
    <s v="Contraloria"/>
    <s v="Selene"/>
    <n v="685175"/>
    <n v="0"/>
    <n v="0"/>
    <s v="Cheque"/>
    <s v="En Caja Operacional"/>
    <n v="356"/>
    <d v="2025-12-10T00:00:00"/>
    <n v="228175"/>
    <n v="191743.69747899161"/>
  </r>
  <r>
    <s v="Geronimo Mendez"/>
    <n v="221155"/>
    <d v="2025-12-26T15:28:37"/>
    <s v="77286158-3"/>
    <s v="LUBRICENTRO KAFMA SPA"/>
    <x v="2"/>
    <s v="Contraloria"/>
    <s v="Selene"/>
    <n v="685175"/>
    <n v="0"/>
    <n v="0"/>
    <s v="Cheque"/>
    <s v="En Caja Operacional"/>
    <n v="357"/>
    <d v="2026-01-19T00:00:00"/>
    <n v="228500"/>
    <n v="192016.80672268907"/>
  </r>
  <r>
    <s v="Geronimo Mendez"/>
    <n v="221155"/>
    <d v="2025-12-26T15:28:37"/>
    <s v="77286158-3"/>
    <s v="LUBRICENTRO KAFMA SPA"/>
    <x v="2"/>
    <s v="Contraloria"/>
    <s v="Selene"/>
    <n v="685175"/>
    <n v="0"/>
    <n v="0"/>
    <s v="Cheque"/>
    <s v="En Caja Operacional"/>
    <n v="359"/>
    <d v="2026-02-19T00:00:00"/>
    <n v="228500"/>
    <n v="192016.80672268907"/>
  </r>
  <r>
    <s v="Geronimo Mendez"/>
    <n v="221154"/>
    <d v="2025-12-26T15:23:31"/>
    <s v="77682346-5"/>
    <s v="TRANSPORTES BOSE SPA"/>
    <x v="8"/>
    <s v="Ventas Local"/>
    <s v="Maiko"/>
    <n v="187168"/>
    <n v="0"/>
    <n v="0"/>
    <s v="D√©bito"/>
    <s v="En Caja Operacional"/>
    <n v="903795"/>
    <m/>
    <n v="187168"/>
    <n v="157284.03361344538"/>
  </r>
  <r>
    <s v="Ovalle"/>
    <n v="221153"/>
    <d v="2025-12-26T15:11:06"/>
    <s v="66666666-6"/>
    <s v="Cliente OVALLE Generico"/>
    <x v="6"/>
    <s v="Ovalle"/>
    <s v="Emilio"/>
    <n v="44843"/>
    <n v="0"/>
    <n v="0"/>
    <s v="D√©bito"/>
    <s v="En Caja Operacional"/>
    <n v="18491"/>
    <m/>
    <n v="44843"/>
    <n v="37683.193277310929"/>
  </r>
  <r>
    <s v="Antillanca"/>
    <n v="221152"/>
    <d v="2025-12-26T14:41:20"/>
    <s v="12887970-6"/>
    <s v="CELSO SAMUEL MIRANDA"/>
    <x v="3"/>
    <s v="Antillanca"/>
    <s v="Nataly"/>
    <n v="462841"/>
    <n v="0"/>
    <n v="0"/>
    <s v="Transferencia"/>
    <s v="En Caja Operacional"/>
    <n v="313"/>
    <m/>
    <n v="462841"/>
    <n v="388942.01680672274"/>
  </r>
  <r>
    <s v="Rojas Magallanes"/>
    <n v="221151"/>
    <d v="2025-12-26T14:11:42"/>
    <s v="76495857-8"/>
    <s v="AUTO MOTO REPUESTOS LIMITADA"/>
    <x v="5"/>
    <s v="Rojas Magallanes"/>
    <s v="Marisol"/>
    <n v="430747"/>
    <n v="0"/>
    <n v="0"/>
    <s v="Transferencia"/>
    <s v="En Caja Operacional"/>
    <n v="257234"/>
    <m/>
    <n v="430747"/>
    <n v="361972.26890756306"/>
  </r>
  <r>
    <s v="Antillanca"/>
    <n v="221150"/>
    <d v="2025-12-26T14:08:33"/>
    <s v="77210221-6"/>
    <s v="LUBCEPAL SPA"/>
    <x v="10"/>
    <s v="Antillanca"/>
    <s v="Nataly"/>
    <n v="226419"/>
    <n v="0"/>
    <n v="0"/>
    <s v="Transferencia"/>
    <s v="En Caja Operacional"/>
    <n v="314"/>
    <m/>
    <n v="226419"/>
    <n v="190268.06722689077"/>
  </r>
  <r>
    <s v="Antillanca"/>
    <n v="221149"/>
    <d v="2025-12-26T14:04:34"/>
    <s v="77643678-K"/>
    <s v="NEUMAXPRO SPA"/>
    <x v="10"/>
    <s v="Antillanca"/>
    <s v="Nataly"/>
    <n v="310332"/>
    <n v="0"/>
    <n v="0"/>
    <s v="Transferencia"/>
    <s v="En Caja Operacional"/>
    <n v="309"/>
    <m/>
    <n v="310332"/>
    <n v="260783.19327731093"/>
  </r>
  <r>
    <s v="Rojas Magallanes"/>
    <n v="221148"/>
    <d v="2025-12-26T13:53:54"/>
    <s v="66666666-6"/>
    <s v="Cliente ROJAS MAGALLANES Generico"/>
    <x v="5"/>
    <s v="Rojas Magallanes"/>
    <s v="Marisol"/>
    <n v="111134"/>
    <n v="0"/>
    <n v="0"/>
    <s v="Efectivo"/>
    <s v="En Caja Operacional"/>
    <m/>
    <m/>
    <n v="111134"/>
    <n v="93389.915966386558"/>
  </r>
  <r>
    <s v="Linares"/>
    <n v="221147"/>
    <d v="2025-12-26T13:36:46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Linares"/>
    <n v="221146"/>
    <d v="2025-12-26T13:27:03"/>
    <s v="66666666-6"/>
    <s v="Cliente LINARES Generico"/>
    <x v="1"/>
    <s v="Linares"/>
    <s v="Eduardo"/>
    <n v="64853"/>
    <n v="0"/>
    <n v="0"/>
    <s v="D√©bito"/>
    <s v="En Caja Operacional"/>
    <n v="2612"/>
    <m/>
    <n v="64853"/>
    <n v="54498.319327731093"/>
  </r>
  <r>
    <s v="Rojas Magallanes"/>
    <n v="221145"/>
    <d v="2025-12-26T13:20:07"/>
    <s v="76477328-4"/>
    <s v="CORREO MOTOCITY SPA"/>
    <x v="5"/>
    <s v="Rojas Magallanes"/>
    <s v="Marisol"/>
    <n v="52568"/>
    <n v="0"/>
    <n v="0"/>
    <s v="Cr√©dito"/>
    <s v="En Caja Operacional"/>
    <n v="473541"/>
    <m/>
    <n v="52568"/>
    <n v="44174.789915966387"/>
  </r>
  <r>
    <s v="Geronimo Mendez"/>
    <n v="221144"/>
    <d v="2025-12-26T13:16:23"/>
    <s v="11725347-3"/>
    <s v="SERGIO RIQUELME"/>
    <x v="2"/>
    <s v="Contraloria"/>
    <s v="Selene"/>
    <n v="1204439"/>
    <n v="0"/>
    <n v="0"/>
    <s v="Cheque"/>
    <s v="En Caja Operacional"/>
    <n v="879"/>
    <d v="2025-12-30T00:00:00"/>
    <n v="401500"/>
    <n v="337394.95798319328"/>
  </r>
  <r>
    <s v="Geronimo Mendez"/>
    <n v="221144"/>
    <d v="2025-12-26T13:16:23"/>
    <s v="11725347-3"/>
    <s v="SERGIO RIQUELME"/>
    <x v="2"/>
    <s v="Contraloria"/>
    <s v="Selene"/>
    <n v="1204439"/>
    <n v="0"/>
    <n v="0"/>
    <s v="Cheque"/>
    <s v="En Caja Operacional"/>
    <n v="878"/>
    <d v="2026-01-30T00:00:00"/>
    <n v="401439"/>
    <n v="337343.69747899158"/>
  </r>
  <r>
    <s v="Geronimo Mendez"/>
    <n v="221144"/>
    <d v="2025-12-26T13:16:23"/>
    <s v="11725347-3"/>
    <s v="SERGIO RIQUELME"/>
    <x v="2"/>
    <s v="Contraloria"/>
    <s v="Selene"/>
    <n v="1204439"/>
    <n v="0"/>
    <n v="0"/>
    <s v="Cheque"/>
    <s v="En Caja Operacional"/>
    <n v="880"/>
    <d v="2026-02-28T00:00:00"/>
    <n v="401500"/>
    <n v="337394.95798319328"/>
  </r>
  <r>
    <s v="Rojas Magallanes"/>
    <n v="221143"/>
    <d v="2025-12-26T13:15:50"/>
    <s v="66666666-6"/>
    <s v="Cliente ROJAS MAGALLANES Generico"/>
    <x v="5"/>
    <s v="Rojas Magallanes"/>
    <s v="Marisol"/>
    <n v="10048"/>
    <n v="0"/>
    <n v="0"/>
    <s v="D√©bito"/>
    <s v="En Caja Operacional"/>
    <n v="524625"/>
    <m/>
    <n v="10048"/>
    <n v="8443.6974789915967"/>
  </r>
  <r>
    <s v="Geronimo Mendez"/>
    <n v="221142"/>
    <d v="2025-12-26T13:15:32"/>
    <s v="77633111-2"/>
    <s v="TRAN SAN MARCOS SPA"/>
    <x v="8"/>
    <s v="Ventas Local"/>
    <s v="SoporteVenta"/>
    <n v="854176"/>
    <n v="0"/>
    <n v="0"/>
    <s v="Cheque"/>
    <s v="En Caja Operacional"/>
    <n v="1979413"/>
    <d v="2026-01-26T00:00:00"/>
    <n v="102762"/>
    <n v="86354.621848739494"/>
  </r>
  <r>
    <s v="Geronimo Mendez"/>
    <n v="221142"/>
    <d v="2025-12-26T13:15:32"/>
    <s v="77633111-2"/>
    <s v="TRAN SAN MARCOS SPA"/>
    <x v="8"/>
    <s v="Ventas Local"/>
    <s v="SoporteVenta"/>
    <n v="854176"/>
    <n v="0"/>
    <n v="0"/>
    <s v="Cheque"/>
    <s v="En Caja Operacional"/>
    <n v="1979414"/>
    <d v="2025-12-26T00:00:00"/>
    <n v="190414"/>
    <n v="160011.76470588235"/>
  </r>
  <r>
    <s v="Geronimo Mendez"/>
    <n v="221142"/>
    <d v="2025-12-26T13:15:32"/>
    <s v="77633111-2"/>
    <s v="TRAN SAN MARCOS SPA"/>
    <x v="8"/>
    <s v="Ventas Local"/>
    <s v="SoporteVenta"/>
    <n v="854176"/>
    <n v="0"/>
    <n v="0"/>
    <s v="Cheque"/>
    <s v="En Caja Operacional"/>
    <n v="1979415"/>
    <d v="2026-01-26T00:00:00"/>
    <n v="187000"/>
    <n v="157142.85714285716"/>
  </r>
  <r>
    <s v="Geronimo Mendez"/>
    <n v="221142"/>
    <d v="2025-12-26T13:15:32"/>
    <s v="77633111-2"/>
    <s v="TRAN SAN MARCOS SPA"/>
    <x v="8"/>
    <s v="Ventas Local"/>
    <s v="SoporteVenta"/>
    <n v="854176"/>
    <n v="0"/>
    <n v="0"/>
    <s v="Cheque"/>
    <s v="En Caja Operacional"/>
    <n v="1979416"/>
    <d v="2026-02-26T00:00:00"/>
    <n v="187000"/>
    <n v="157142.85714285716"/>
  </r>
  <r>
    <s v="Geronimo Mendez"/>
    <n v="221142"/>
    <d v="2025-12-26T13:15:32"/>
    <s v="77633111-2"/>
    <s v="TRAN SAN MARCOS SPA"/>
    <x v="8"/>
    <s v="Ventas Local"/>
    <s v="SoporteVenta"/>
    <n v="854176"/>
    <n v="0"/>
    <n v="0"/>
    <s v="Cheque"/>
    <s v="En Caja Operacional"/>
    <n v="1979417"/>
    <d v="2026-03-26T00:00:00"/>
    <n v="187000"/>
    <n v="157142.85714285716"/>
  </r>
  <r>
    <s v="Geronimo Mendez"/>
    <n v="221141"/>
    <d v="2025-12-26T13:12:13"/>
    <s v="9210869-4"/>
    <s v="CARLOS OLIVARES"/>
    <x v="4"/>
    <s v="Contraloria"/>
    <s v="Selene"/>
    <n v="1216057"/>
    <n v="0"/>
    <n v="0"/>
    <s v="Efectivo"/>
    <s v="En Caja Operacional"/>
    <m/>
    <m/>
    <n v="1216057"/>
    <n v="1021896.6386554622"/>
  </r>
  <r>
    <s v="Geronimo Mendez"/>
    <n v="221140"/>
    <d v="2025-12-26T13:11:34"/>
    <s v="4910363-8"/>
    <s v="HECTOR FREDES"/>
    <x v="4"/>
    <s v="Contraloria"/>
    <s v="Selene"/>
    <n v="100000"/>
    <n v="0"/>
    <n v="0"/>
    <s v="Efectivo"/>
    <s v="En Caja Operacional"/>
    <m/>
    <m/>
    <n v="100000"/>
    <n v="84033.613445378156"/>
  </r>
  <r>
    <s v="Linares"/>
    <n v="221139"/>
    <d v="2025-12-26T13:11:27"/>
    <s v="66666666-6"/>
    <s v="Cliente LINARES Generico"/>
    <x v="1"/>
    <s v="Linares"/>
    <s v="Eduardo"/>
    <n v="69619"/>
    <n v="0"/>
    <n v="0"/>
    <s v="D√©bito"/>
    <s v="En Caja Operacional"/>
    <n v="47496"/>
    <m/>
    <n v="69619"/>
    <n v="58503.361344537814"/>
  </r>
  <r>
    <s v="Rojas Magallanes"/>
    <n v="221138"/>
    <d v="2025-12-26T13:11:12"/>
    <s v="24809434-6"/>
    <s v="JUAN  CHOMBA"/>
    <x v="12"/>
    <s v="Rojas Magallanes"/>
    <s v="Cristian"/>
    <n v="128025"/>
    <n v="0"/>
    <n v="0"/>
    <s v="D√©bito"/>
    <s v="En Caja Operacional"/>
    <n v="41010"/>
    <m/>
    <n v="128025"/>
    <n v="107584.03361344538"/>
  </r>
  <r>
    <s v="Geronimo Mendez"/>
    <n v="221137"/>
    <d v="2025-12-26T13:10:37"/>
    <s v="17492941-6"/>
    <s v="EVANGELI VALDIVIA"/>
    <x v="4"/>
    <s v="Contraloria"/>
    <s v="Selene"/>
    <n v="1323400"/>
    <n v="0"/>
    <n v="0"/>
    <s v="Efectivo"/>
    <s v="En Caja Operacional"/>
    <m/>
    <m/>
    <n v="1323400"/>
    <n v="1112100.8403361344"/>
  </r>
  <r>
    <s v="Geronimo Mendez"/>
    <n v="221136"/>
    <d v="2025-12-26T13:08:52"/>
    <s v="66666666-6"/>
    <s v="Cliente GERONIMO MENDEZ Generico"/>
    <x v="8"/>
    <s v="Ventas Local"/>
    <s v="Maiko"/>
    <n v="242334"/>
    <n v="0"/>
    <n v="0"/>
    <s v="Efectivo"/>
    <s v="En Caja Operacional"/>
    <m/>
    <m/>
    <n v="242334"/>
    <n v="203642.01680672271"/>
  </r>
  <r>
    <s v="Linares"/>
    <n v="221135"/>
    <d v="2025-12-26T13:08:48"/>
    <s v="9262987-2"/>
    <s v="EDUARDO ENRIQUE PONCE"/>
    <x v="1"/>
    <s v="Linares"/>
    <s v="Eduardo"/>
    <n v="46756"/>
    <n v="0"/>
    <n v="0"/>
    <s v="D√©bito"/>
    <s v="En Caja Operacional"/>
    <n v="701088"/>
    <m/>
    <n v="46756"/>
    <n v="39290.756302521011"/>
  </r>
  <r>
    <s v="Geronimo Mendez"/>
    <n v="221134"/>
    <d v="2025-12-26T13:01:26"/>
    <s v="76367317-0"/>
    <s v="SOCIEDAD DE TRANSPORTES EDMUNDO GRES LIMITADA"/>
    <x v="0"/>
    <s v="Ventas Local"/>
    <s v="SoporteVenta"/>
    <n v="614571"/>
    <n v="0"/>
    <n v="0"/>
    <s v="Cheque"/>
    <s v="En Caja Operacional"/>
    <n v="4540419"/>
    <d v="2026-01-17T00:00:00"/>
    <n v="314571"/>
    <n v="264345.37815126049"/>
  </r>
  <r>
    <s v="Geronimo Mendez"/>
    <n v="221134"/>
    <d v="2025-12-26T13:01:26"/>
    <s v="76367317-0"/>
    <s v="SOCIEDAD DE TRANSPORTES EDMUNDO GRES LIMITADA"/>
    <x v="0"/>
    <s v="Ventas Local"/>
    <s v="SoporteVenta"/>
    <n v="614571"/>
    <n v="0"/>
    <n v="0"/>
    <s v="Cheque"/>
    <s v="En Caja Operacional"/>
    <n v="4540420"/>
    <d v="2026-02-17T00:00:00"/>
    <n v="300000"/>
    <n v="252100.84033613445"/>
  </r>
  <r>
    <s v="Linares"/>
    <n v="221133"/>
    <d v="2025-12-26T12:47:39"/>
    <s v="77096393-1"/>
    <s v="CONSTRUCTORA CAFRAN SPA"/>
    <x v="8"/>
    <s v="Linares"/>
    <s v="Eduardo"/>
    <n v="44431"/>
    <n v="0"/>
    <n v="0"/>
    <s v="D√©bito"/>
    <s v="En Caja Operacional"/>
    <n v="471059"/>
    <m/>
    <n v="44431"/>
    <n v="37336.97478991597"/>
  </r>
  <r>
    <s v="Linares"/>
    <n v="221132"/>
    <d v="2025-12-26T12:42:53"/>
    <s v="66666666-6"/>
    <s v="Cliente LINARES Generico"/>
    <x v="1"/>
    <s v="Linares"/>
    <s v="Eduardo"/>
    <n v="31350"/>
    <n v="0"/>
    <n v="0"/>
    <s v="Efectivo"/>
    <s v="En Caja Operacional"/>
    <m/>
    <m/>
    <n v="31350"/>
    <n v="26344.537815126052"/>
  </r>
  <r>
    <s v="Geronimo Mendez"/>
    <n v="221131"/>
    <d v="2025-12-26T12:35:14"/>
    <s v="76562269-7"/>
    <s v="EMP.COM. Y DE SERV.OSCAR ANDRES AGUIRRE"/>
    <x v="8"/>
    <s v="Ventas Local"/>
    <s v="Maiko"/>
    <n v="166764"/>
    <n v="0"/>
    <n v="0"/>
    <s v="Cr√©dito"/>
    <s v="En Caja Operacional"/>
    <n v="226206"/>
    <m/>
    <n v="166764"/>
    <n v="140137.81512605044"/>
  </r>
  <r>
    <s v="Linares"/>
    <n v="221130"/>
    <d v="2025-12-26T12:32:14"/>
    <s v="66666666-6"/>
    <s v="Cliente LINARES Generico"/>
    <x v="1"/>
    <s v="Linares"/>
    <s v="Eduardo"/>
    <n v="55567"/>
    <n v="0"/>
    <n v="0"/>
    <s v="D√©bito"/>
    <s v="En Caja Operacional"/>
    <n v="9035"/>
    <m/>
    <n v="55567"/>
    <n v="46694.957983193279"/>
  </r>
  <r>
    <s v="Linares"/>
    <n v="221129"/>
    <d v="2025-12-26T12:23:49"/>
    <s v="66666666-6"/>
    <s v="Cliente LINARES Generico"/>
    <x v="1"/>
    <s v="Linares"/>
    <s v="Eduardo"/>
    <n v="33289"/>
    <n v="0"/>
    <n v="0"/>
    <s v="D√©bito"/>
    <s v="En Caja Operacional"/>
    <n v="311779"/>
    <m/>
    <n v="33289"/>
    <n v="27973.949579831933"/>
  </r>
  <r>
    <s v="Geronimo Mendez"/>
    <n v="221128"/>
    <d v="2025-12-26T12:23:40"/>
    <s v="77919244-K"/>
    <s v="TRANSPORTES FERNANDOIS SPA"/>
    <x v="0"/>
    <s v="Ventas Local"/>
    <s v="Maiko"/>
    <n v="13414"/>
    <n v="0"/>
    <n v="0"/>
    <s v="Cr√©dito"/>
    <s v="En Caja Operacional"/>
    <n v="156486"/>
    <m/>
    <n v="13414"/>
    <n v="11272.268907563026"/>
  </r>
  <r>
    <s v="Rojas Magallanes"/>
    <n v="221127"/>
    <d v="2025-12-26T12:20:04"/>
    <s v="66666666-6"/>
    <s v="Cliente ROJAS MAGALLANES Generico"/>
    <x v="5"/>
    <s v="Rojas Magallanes"/>
    <s v="Marisol"/>
    <n v="122556"/>
    <n v="0"/>
    <n v="0"/>
    <s v="D√©bito"/>
    <s v="En Caja Operacional"/>
    <n v="16326"/>
    <m/>
    <n v="60000"/>
    <n v="50420.168067226892"/>
  </r>
  <r>
    <s v="Rojas Magallanes"/>
    <n v="221127"/>
    <d v="2025-12-26T12:20:04"/>
    <s v="66666666-6"/>
    <s v="Cliente ROJAS MAGALLANES Generico"/>
    <x v="5"/>
    <s v="Rojas Magallanes"/>
    <s v="Marisol"/>
    <n v="122556"/>
    <n v="0"/>
    <n v="0"/>
    <s v="D√©bito"/>
    <s v="En Caja Operacional"/>
    <n v="28091"/>
    <m/>
    <n v="62556"/>
    <n v="52568.067226890758"/>
  </r>
  <r>
    <s v="Geronimo Mendez"/>
    <n v="221126"/>
    <d v="2025-12-26T12:18:43"/>
    <s v="78794710-7"/>
    <s v="TRANSPORTES CALLEGARI LTDA."/>
    <x v="0"/>
    <s v="Contraloria"/>
    <s v="Selene"/>
    <n v="7998828"/>
    <n v="0"/>
    <n v="0"/>
    <s v="Vale vista"/>
    <s v="En Caja Operacional"/>
    <n v="275621"/>
    <m/>
    <n v="7998828"/>
    <n v="6721704.2016806724"/>
  </r>
  <r>
    <s v="Linares"/>
    <n v="221125"/>
    <d v="2025-12-26T12:18:09"/>
    <s v="66666666-6"/>
    <s v="Cliente LINARES Generico"/>
    <x v="1"/>
    <s v="Linares"/>
    <s v="Eduardo"/>
    <n v="54387"/>
    <n v="0"/>
    <n v="0"/>
    <s v="Efectivo"/>
    <s v="En Caja Operacional"/>
    <m/>
    <m/>
    <n v="54387"/>
    <n v="45703.361344537814"/>
  </r>
  <r>
    <s v="Geronimo Mendez"/>
    <n v="221124"/>
    <d v="2025-12-26T12:16:30"/>
    <s v="14100763-7"/>
    <s v="EMILIO BUGUE√ëO"/>
    <x v="0"/>
    <s v="Contraloria"/>
    <s v="Selene"/>
    <n v="433677"/>
    <n v="0"/>
    <n v="0"/>
    <s v="Transferencia"/>
    <s v="En Caja Operacional"/>
    <n v="275612"/>
    <m/>
    <n v="433677"/>
    <n v="364434.45378151262"/>
  </r>
  <r>
    <s v="Geronimo Mendez"/>
    <n v="221123"/>
    <d v="2025-12-26T12:15:11"/>
    <s v="77291716-3"/>
    <s v="FIVE SPA"/>
    <x v="0"/>
    <s v="Contraloria"/>
    <s v="Selene"/>
    <n v="1582450"/>
    <n v="0"/>
    <n v="0"/>
    <s v="Transferencia"/>
    <s v="En Caja Operacional"/>
    <n v="275611"/>
    <m/>
    <n v="506454"/>
    <n v="425591.59663865546"/>
  </r>
  <r>
    <s v="Geronimo Mendez"/>
    <n v="221123"/>
    <d v="2025-12-26T12:15:11"/>
    <s v="77291716-3"/>
    <s v="FIVE SPA"/>
    <x v="0"/>
    <s v="Contraloria"/>
    <s v="Selene"/>
    <n v="1582450"/>
    <n v="0"/>
    <n v="0"/>
    <s v="Transferencia"/>
    <s v="En Caja Operacional"/>
    <n v="275611"/>
    <m/>
    <n v="680680"/>
    <n v="572000"/>
  </r>
  <r>
    <s v="Geronimo Mendez"/>
    <n v="221123"/>
    <d v="2025-12-26T12:15:11"/>
    <s v="77291716-3"/>
    <s v="FIVE SPA"/>
    <x v="0"/>
    <s v="Contraloria"/>
    <s v="Selene"/>
    <n v="1582450"/>
    <n v="0"/>
    <n v="0"/>
    <s v="Transferencia"/>
    <s v="En Caja Operacional"/>
    <n v="275611"/>
    <m/>
    <n v="74884"/>
    <n v="62927.731092436974"/>
  </r>
  <r>
    <s v="Geronimo Mendez"/>
    <n v="221123"/>
    <d v="2025-12-26T12:15:11"/>
    <s v="77291716-3"/>
    <s v="FIVE SPA"/>
    <x v="0"/>
    <s v="Contraloria"/>
    <s v="Selene"/>
    <n v="1582450"/>
    <n v="0"/>
    <n v="0"/>
    <s v="Transferencia"/>
    <s v="En Caja Operacional"/>
    <n v="275611"/>
    <m/>
    <n v="320432"/>
    <n v="269270.58823529416"/>
  </r>
  <r>
    <s v="Geronimo Mendez"/>
    <n v="221122"/>
    <d v="2025-12-26T12:11:16"/>
    <s v="77657591-7"/>
    <s v="FERRETERIA CUELLO SPA"/>
    <x v="0"/>
    <s v="Contraloria"/>
    <s v="Selene"/>
    <n v="872494"/>
    <n v="0"/>
    <n v="0"/>
    <s v="Transferencia"/>
    <s v="En Caja Operacional"/>
    <n v="275607"/>
    <m/>
    <n v="500000"/>
    <n v="420168.06722689077"/>
  </r>
  <r>
    <s v="Geronimo Mendez"/>
    <n v="221122"/>
    <d v="2025-12-26T12:11:16"/>
    <s v="77657591-7"/>
    <s v="FERRETERIA CUELLO SPA"/>
    <x v="0"/>
    <s v="Contraloria"/>
    <s v="Selene"/>
    <n v="872494"/>
    <n v="0"/>
    <n v="0"/>
    <s v="Transferencia"/>
    <s v="En Caja Operacional"/>
    <n v="275607"/>
    <m/>
    <n v="372494"/>
    <n v="313020.16806722688"/>
  </r>
  <r>
    <s v="Geronimo Mendez"/>
    <n v="221121"/>
    <d v="2025-12-26T12:09:18"/>
    <s v="77775816-0"/>
    <s v="COMERCIALIZADORA Y SERVICIOS ROBLES SPA"/>
    <x v="2"/>
    <s v="Contraloria"/>
    <s v="Selene"/>
    <n v="192351"/>
    <n v="0"/>
    <n v="0"/>
    <s v="Transferencia"/>
    <s v="En Caja Operacional"/>
    <n v="275392"/>
    <m/>
    <n v="192351"/>
    <n v="161639.49579831935"/>
  </r>
  <r>
    <s v="Geronimo Mendez"/>
    <n v="221120"/>
    <d v="2025-12-26T12:07:38"/>
    <s v="6957639-7"/>
    <s v="JUAN CORROTEA"/>
    <x v="2"/>
    <s v="Contraloria"/>
    <s v="Selene"/>
    <n v="863145"/>
    <n v="0"/>
    <n v="0"/>
    <s v="Transferencia"/>
    <s v="En Caja Operacional"/>
    <n v="275377"/>
    <m/>
    <n v="400000"/>
    <n v="336134.45378151262"/>
  </r>
  <r>
    <s v="Geronimo Mendez"/>
    <n v="221120"/>
    <d v="2025-12-26T12:07:38"/>
    <s v="6957639-7"/>
    <s v="JUAN CORROTEA"/>
    <x v="2"/>
    <s v="Contraloria"/>
    <s v="Selene"/>
    <n v="863145"/>
    <n v="0"/>
    <n v="0"/>
    <s v="Transferencia"/>
    <s v="En Caja Operacional"/>
    <n v="275377"/>
    <m/>
    <n v="463145"/>
    <n v="389197.47899159667"/>
  </r>
  <r>
    <s v="Geronimo Mendez"/>
    <n v="221119"/>
    <d v="2025-12-26T12:06:43"/>
    <s v="9041453-4"/>
    <s v="VLADIMIRO AGUILERA"/>
    <x v="8"/>
    <s v="Ventas Local"/>
    <s v="Maiko"/>
    <n v="159329"/>
    <n v="0"/>
    <n v="0"/>
    <s v="Cr√©dito"/>
    <s v="En Caja Operacional"/>
    <n v="241243"/>
    <m/>
    <n v="159329"/>
    <n v="133889.91596638656"/>
  </r>
  <r>
    <s v="Geronimo Mendez"/>
    <n v="221118"/>
    <d v="2025-12-26T12:05:01"/>
    <s v="15048061-2"/>
    <s v="ROLANDO ALEXIS  PEREIRA"/>
    <x v="0"/>
    <s v="Contraloria"/>
    <s v="Selene"/>
    <n v="268500"/>
    <n v="0"/>
    <n v="0"/>
    <s v="Transferencia"/>
    <s v="En Caja Operacional"/>
    <n v="275610"/>
    <m/>
    <n v="268500"/>
    <n v="225630.25210084036"/>
  </r>
  <r>
    <s v="Geronimo Mendez"/>
    <n v="221117"/>
    <d v="2025-12-26T12:03:23"/>
    <s v="16613878-7"/>
    <s v="CRISTIAN FERNANDO VILLALOBOS"/>
    <x v="0"/>
    <s v="Contraloria"/>
    <s v="Selene"/>
    <n v="205317"/>
    <n v="0"/>
    <n v="0"/>
    <s v="Transferencia"/>
    <s v="En Caja Operacional"/>
    <n v="275613"/>
    <m/>
    <n v="205317"/>
    <n v="172535.29411764708"/>
  </r>
  <r>
    <s v="Antillanca"/>
    <n v="221116"/>
    <d v="2025-12-26T12:00:39"/>
    <s v="76905676-9"/>
    <s v="VASPIC SPA"/>
    <x v="9"/>
    <s v="Antillanca"/>
    <s v="Nataly"/>
    <n v="2313360"/>
    <n v="0"/>
    <n v="0"/>
    <s v="Cheque"/>
    <s v="En Caja Operacional"/>
    <n v="56"/>
    <d v="2026-03-24T00:00:00"/>
    <n v="579360"/>
    <n v="486857.1428571429"/>
  </r>
  <r>
    <s v="Antillanca"/>
    <n v="221116"/>
    <d v="2025-12-26T12:00:39"/>
    <s v="76905676-9"/>
    <s v="VASPIC SPA"/>
    <x v="9"/>
    <s v="Antillanca"/>
    <s v="Nataly"/>
    <n v="2313360"/>
    <n v="0"/>
    <n v="0"/>
    <s v="Cheque"/>
    <s v="En Caja Operacional"/>
    <n v="55"/>
    <d v="2026-02-24T00:00:00"/>
    <n v="578000"/>
    <n v="485714.28571428574"/>
  </r>
  <r>
    <s v="Antillanca"/>
    <n v="221116"/>
    <d v="2025-12-26T12:00:39"/>
    <s v="76905676-9"/>
    <s v="VASPIC SPA"/>
    <x v="9"/>
    <s v="Antillanca"/>
    <s v="Nataly"/>
    <n v="2313360"/>
    <n v="0"/>
    <n v="0"/>
    <s v="Cheque"/>
    <s v="En Caja Operacional"/>
    <n v="54"/>
    <d v="2026-01-24T00:00:00"/>
    <n v="578000"/>
    <n v="485714.28571428574"/>
  </r>
  <r>
    <s v="Antillanca"/>
    <n v="221116"/>
    <d v="2025-12-26T12:00:39"/>
    <s v="76905676-9"/>
    <s v="VASPIC SPA"/>
    <x v="9"/>
    <s v="Antillanca"/>
    <s v="Nataly"/>
    <n v="2313360"/>
    <n v="0"/>
    <n v="0"/>
    <s v="Cheque"/>
    <s v="En Caja Operacional"/>
    <n v="53"/>
    <d v="2025-12-30T00:00:00"/>
    <n v="578000"/>
    <n v="485714.28571428574"/>
  </r>
  <r>
    <s v="Antillanca"/>
    <n v="221115"/>
    <d v="2025-12-26T11:58:29"/>
    <s v="12692631-6"/>
    <s v="CRISTIAN MAURICIO RODRIGUEZ"/>
    <x v="10"/>
    <s v="Antillanca"/>
    <s v="Nataly"/>
    <n v="354262"/>
    <n v="0"/>
    <n v="0"/>
    <s v="Cheque"/>
    <s v="En Caja Operacional"/>
    <n v="6406813"/>
    <d v="2026-01-17T00:00:00"/>
    <n v="354262"/>
    <n v="297699.15966386558"/>
  </r>
  <r>
    <s v="Geronimo Mendez"/>
    <n v="221114"/>
    <d v="2025-12-26T11:55:39"/>
    <s v="6276438-4"/>
    <s v="IVAR TORRES"/>
    <x v="8"/>
    <s v="Ventas Local"/>
    <s v="SoporteVenta"/>
    <n v="228432"/>
    <n v="0"/>
    <n v="0"/>
    <s v="Cheque"/>
    <s v="En Caja Operacional"/>
    <n v="5245435"/>
    <d v="2025-12-26T00:00:00"/>
    <n v="150000"/>
    <n v="126050.42016806723"/>
  </r>
  <r>
    <s v="Geronimo Mendez"/>
    <n v="221114"/>
    <d v="2025-12-26T11:55:39"/>
    <s v="6276438-4"/>
    <s v="IVAR TORRES"/>
    <x v="8"/>
    <s v="Ventas Local"/>
    <s v="SoporteVenta"/>
    <n v="228432"/>
    <n v="0"/>
    <n v="0"/>
    <s v="Efectivo"/>
    <s v="En Caja Operacional"/>
    <m/>
    <m/>
    <n v="68432"/>
    <n v="57505.882352941182"/>
  </r>
  <r>
    <s v="Geronimo Mendez"/>
    <n v="221114"/>
    <d v="2025-12-26T11:55:39"/>
    <s v="6276438-4"/>
    <s v="IVAR TORRES"/>
    <x v="8"/>
    <s v="Ventas Local"/>
    <s v="SoporteVenta"/>
    <n v="228432"/>
    <n v="0"/>
    <n v="0"/>
    <s v="D√©bito"/>
    <s v="En Caja Operacional"/>
    <n v="344165"/>
    <m/>
    <n v="10000"/>
    <n v="8403.361344537816"/>
  </r>
  <r>
    <s v="Linares"/>
    <n v="221113"/>
    <d v="2025-12-26T11:54:35"/>
    <s v="66666666-6"/>
    <s v="Cliente LINARES Generico"/>
    <x v="1"/>
    <s v="Linares"/>
    <s v="Eduardo"/>
    <n v="36457"/>
    <n v="0"/>
    <n v="0"/>
    <s v="D√©bito"/>
    <s v="En Caja Operacional"/>
    <n v="329510"/>
    <m/>
    <n v="36457"/>
    <n v="30636.134453781513"/>
  </r>
  <r>
    <s v="Rojas Magallanes"/>
    <n v="221112"/>
    <d v="2025-12-26T11:52:00"/>
    <s v="76975445-8"/>
    <s v="CONSTRUCTORA NADIBA CLAUDIO QUITRAL CISTERNA EIRL"/>
    <x v="5"/>
    <s v="Rojas Magallanes"/>
    <s v="Marisol"/>
    <n v="64452"/>
    <n v="0"/>
    <n v="0"/>
    <s v="D√©bito"/>
    <s v="En Caja Operacional"/>
    <n v="7219"/>
    <m/>
    <n v="64452"/>
    <n v="54161.34453781513"/>
  </r>
  <r>
    <s v="Geronimo Mendez"/>
    <n v="221111"/>
    <d v="2025-12-26T11:38:23"/>
    <s v="11439951-5"/>
    <s v="WILSON GUTIERREZ"/>
    <x v="4"/>
    <s v="Ventas Local"/>
    <s v="Maiko"/>
    <n v="18743"/>
    <n v="0"/>
    <n v="0"/>
    <s v="D√©bito"/>
    <s v="En Caja Operacional"/>
    <n v="374983"/>
    <m/>
    <n v="18743"/>
    <n v="15750.420168067227"/>
  </r>
  <r>
    <s v="Linares"/>
    <n v="221110"/>
    <d v="2025-12-26T11:37:48"/>
    <s v="66666666-6"/>
    <s v="Cliente LINARES Generico"/>
    <x v="1"/>
    <s v="Linares"/>
    <s v="Eduardo"/>
    <n v="45567"/>
    <n v="0"/>
    <n v="0"/>
    <s v="Efectivo"/>
    <s v="En Caja Operacional"/>
    <m/>
    <m/>
    <n v="45567"/>
    <n v="38291.596638655465"/>
  </r>
  <r>
    <s v="Geronimo Mendez"/>
    <n v="221109"/>
    <d v="2025-12-26T11:35:35"/>
    <s v="15150069-2"/>
    <s v="FELIPE SOTO"/>
    <x v="8"/>
    <s v="Ventas Local"/>
    <s v="SoporteVenta"/>
    <n v="49708"/>
    <n v="0"/>
    <n v="0"/>
    <s v="D√©bito"/>
    <s v="En Caja Operacional"/>
    <n v="453893"/>
    <m/>
    <n v="49708"/>
    <n v="41771.428571428572"/>
  </r>
  <r>
    <s v="Rojas Magallanes"/>
    <n v="221108"/>
    <d v="2025-12-26T11:16:21"/>
    <s v="66666666-6"/>
    <s v="Cliente ROJAS MAGALLANES Generico"/>
    <x v="5"/>
    <s v="Rojas Magallanes"/>
    <s v="Cristian"/>
    <n v="30739"/>
    <n v="0"/>
    <n v="0"/>
    <s v="Cr√©dito"/>
    <s v="En Caja Operacional"/>
    <n v="294029"/>
    <m/>
    <n v="30739"/>
    <n v="25831.092436974792"/>
  </r>
  <r>
    <s v="Ovalle"/>
    <n v="221107"/>
    <d v="2025-12-26T11:11:37"/>
    <s v="66666666-6"/>
    <s v="Cliente OVALLE Generico"/>
    <x v="6"/>
    <s v="Ovalle"/>
    <s v="Emilio"/>
    <n v="28501"/>
    <n v="0"/>
    <n v="0"/>
    <s v="Efectivo"/>
    <s v="En Caja Operacional"/>
    <m/>
    <m/>
    <n v="28501"/>
    <n v="23950.420168067227"/>
  </r>
  <r>
    <s v="Geronimo Mendez"/>
    <n v="221106"/>
    <d v="2025-12-26T11:07:02"/>
    <s v="77532375-2"/>
    <s v="LOGISTICAS VYE SPA"/>
    <x v="2"/>
    <s v="Ventas Local"/>
    <s v="SoporteVenta"/>
    <n v="91710"/>
    <n v="0"/>
    <n v="0"/>
    <s v="Cr√©dito"/>
    <s v="En Caja Operacional"/>
    <n v="547579"/>
    <m/>
    <n v="91710"/>
    <n v="77067.226890756312"/>
  </r>
  <r>
    <s v="Ovalle"/>
    <n v="221105"/>
    <d v="2025-12-26T11:04:19"/>
    <s v="66666666-6"/>
    <s v="Cliente OVALLE Generico"/>
    <x v="6"/>
    <s v="Ovalle"/>
    <s v="Emilio"/>
    <n v="32242"/>
    <n v="0"/>
    <n v="0"/>
    <s v="Efectivo"/>
    <s v="En Caja Operacional"/>
    <m/>
    <m/>
    <n v="32242"/>
    <n v="27094.117647058825"/>
  </r>
  <r>
    <s v="Linares"/>
    <n v="221104"/>
    <d v="2025-12-26T11:00:18"/>
    <s v="66666666-6"/>
    <s v="Cliente LINARES Generico"/>
    <x v="1"/>
    <s v="Linares"/>
    <s v="Eduardo"/>
    <n v="18450"/>
    <n v="0"/>
    <n v="0"/>
    <s v="Efectivo"/>
    <s v="En Caja Operacional"/>
    <m/>
    <m/>
    <n v="18450"/>
    <n v="15504.20168067227"/>
  </r>
  <r>
    <s v="Geronimo Mendez"/>
    <n v="221103"/>
    <d v="2025-12-26T10:59:04"/>
    <s v="77118260-7"/>
    <s v="ANA MARIA SCHMIDT Y CIA. LTDA."/>
    <x v="4"/>
    <s v="Contraloria"/>
    <s v="Selene"/>
    <n v="188239"/>
    <n v="0"/>
    <n v="0"/>
    <s v="Transferencia"/>
    <s v="En Caja Operacional"/>
    <n v="275521"/>
    <m/>
    <n v="188239"/>
    <n v="158184.03361344538"/>
  </r>
  <r>
    <s v="Geronimo Mendez"/>
    <n v="221102"/>
    <d v="2025-12-26T10:58:25"/>
    <s v="13179912-8"/>
    <s v="EMILIO IVAN ZAPATA"/>
    <x v="4"/>
    <s v="Contraloria"/>
    <s v="Selene"/>
    <n v="68068"/>
    <n v="0"/>
    <n v="0"/>
    <s v="Transferencia"/>
    <s v="En Caja Operacional"/>
    <n v="275529"/>
    <m/>
    <n v="68068"/>
    <n v="57200"/>
  </r>
  <r>
    <s v="Geronimo Mendez"/>
    <n v="221101"/>
    <d v="2025-12-26T10:57:42"/>
    <s v="8131434-9"/>
    <s v="MARIO ALEJANDRO TABILO"/>
    <x v="4"/>
    <s v="Contraloria"/>
    <s v="Selene"/>
    <n v="77000"/>
    <n v="0"/>
    <n v="0"/>
    <s v="Transferencia"/>
    <s v="En Caja Operacional"/>
    <n v="275528"/>
    <m/>
    <n v="77000"/>
    <n v="64705.882352941182"/>
  </r>
  <r>
    <s v="Linares"/>
    <n v="221100"/>
    <d v="2025-12-26T10:56:34"/>
    <s v="66666666-6"/>
    <s v="Cliente LINARES Generico"/>
    <x v="1"/>
    <s v="Linares"/>
    <s v="Eduardo"/>
    <n v="54975"/>
    <n v="0"/>
    <n v="0"/>
    <s v="D√©bito"/>
    <s v="En Caja Operacional"/>
    <n v="550662"/>
    <m/>
    <n v="54975"/>
    <n v="46197.478991596639"/>
  </r>
  <r>
    <s v="Antillanca"/>
    <n v="221099"/>
    <d v="2025-12-26T10:45:25"/>
    <s v="17350202-8"/>
    <s v="MATIAS FIDEL SEGUEL"/>
    <x v="9"/>
    <s v="Antillanca"/>
    <s v="Nataly"/>
    <n v="309400"/>
    <n v="0"/>
    <n v="0"/>
    <s v="D√©bito"/>
    <s v="En Caja Operacional"/>
    <n v="9264"/>
    <m/>
    <n v="309400"/>
    <n v="260000"/>
  </r>
  <r>
    <s v="Antillanca"/>
    <n v="221098"/>
    <d v="2025-12-26T10:44:05"/>
    <s v="77119757-4"/>
    <s v="M Y S ASOCIADOS SPA"/>
    <x v="9"/>
    <s v="Antillanca"/>
    <s v="Nataly"/>
    <n v="309400"/>
    <n v="0"/>
    <n v="0"/>
    <s v="D√©bito"/>
    <s v="En Caja Operacional"/>
    <n v="5921"/>
    <m/>
    <n v="309400"/>
    <n v="260000"/>
  </r>
  <r>
    <s v="Linares"/>
    <n v="221097"/>
    <d v="2025-12-26T10:38:33"/>
    <s v="66666666-6"/>
    <s v="Cliente LINARES Generico"/>
    <x v="1"/>
    <s v="Linares"/>
    <s v="Eduardo"/>
    <n v="31745"/>
    <n v="0"/>
    <n v="0"/>
    <s v="D√©bito"/>
    <s v="En Caja Operacional"/>
    <n v="753927"/>
    <m/>
    <n v="31745"/>
    <n v="26676.470588235294"/>
  </r>
  <r>
    <s v="Geronimo Mendez"/>
    <n v="221096"/>
    <d v="2025-12-26T10:11:28"/>
    <s v="77532375-2"/>
    <s v="LOGISTICAS VYE SPA"/>
    <x v="2"/>
    <s v="Ventas Local"/>
    <s v="SoporteVenta"/>
    <n v="213408"/>
    <n v="0"/>
    <n v="0"/>
    <s v="Cheque"/>
    <s v="En Caja Operacional"/>
    <n v="929839"/>
    <d v="2026-01-31T00:00:00"/>
    <n v="71136"/>
    <n v="59778.151260504201"/>
  </r>
  <r>
    <s v="Geronimo Mendez"/>
    <n v="221096"/>
    <d v="2025-12-26T10:11:28"/>
    <s v="77532375-2"/>
    <s v="LOGISTICAS VYE SPA"/>
    <x v="2"/>
    <s v="Ventas Local"/>
    <s v="SoporteVenta"/>
    <n v="213408"/>
    <n v="0"/>
    <n v="0"/>
    <s v="Cheque"/>
    <s v="En Caja Operacional"/>
    <n v="929840"/>
    <d v="2026-02-28T00:00:00"/>
    <n v="71136"/>
    <n v="59778.151260504201"/>
  </r>
  <r>
    <s v="Geronimo Mendez"/>
    <n v="221096"/>
    <d v="2025-12-26T10:11:28"/>
    <s v="77532375-2"/>
    <s v="LOGISTICAS VYE SPA"/>
    <x v="2"/>
    <s v="Ventas Local"/>
    <s v="SoporteVenta"/>
    <n v="213408"/>
    <n v="0"/>
    <n v="0"/>
    <s v="Cheque"/>
    <s v="En Caja Operacional"/>
    <n v="929841"/>
    <d v="2026-03-31T00:00:00"/>
    <n v="71136"/>
    <n v="59778.151260504201"/>
  </r>
  <r>
    <s v="Ovalle"/>
    <n v="221095"/>
    <d v="2025-12-26T10:05:13"/>
    <s v="66666666-6"/>
    <s v="Cliente OVALLE Generico"/>
    <x v="6"/>
    <s v="Ovalle"/>
    <s v="Emilio"/>
    <n v="34459"/>
    <n v="0"/>
    <n v="0"/>
    <s v="D√©bito"/>
    <s v="En Caja Operacional"/>
    <n v="435083"/>
    <m/>
    <n v="34459"/>
    <n v="28957.142857142859"/>
  </r>
  <r>
    <s v="Linares"/>
    <n v="221094"/>
    <d v="2025-12-26T09:56:51"/>
    <s v="66666666-6"/>
    <s v="Cliente LINARES Generico"/>
    <x v="1"/>
    <s v="Linares"/>
    <s v="Eduardo"/>
    <n v="65891"/>
    <n v="0"/>
    <n v="0"/>
    <s v="Cr√©dito"/>
    <s v="En Caja Operacional"/>
    <n v="160053"/>
    <m/>
    <n v="65891"/>
    <n v="55370.588235294119"/>
  </r>
  <r>
    <s v="Ovalle"/>
    <n v="221093"/>
    <d v="2025-12-26T09:54:02"/>
    <s v="11937788-9"/>
    <s v="BENEDICTO ANTONIO MUNDACA"/>
    <x v="0"/>
    <s v="Ovalle"/>
    <s v="Emilio"/>
    <n v="96645"/>
    <n v="0"/>
    <n v="0"/>
    <s v="D√©bito"/>
    <s v="En Caja Operacional"/>
    <n v="14920"/>
    <m/>
    <n v="96645"/>
    <n v="81214.285714285725"/>
  </r>
  <r>
    <s v="Geronimo Mendez"/>
    <n v="221092"/>
    <d v="2025-12-26T09:44:34"/>
    <s v="9270382-7"/>
    <s v="ALVARO CORTES"/>
    <x v="2"/>
    <s v="Ventas Local"/>
    <s v="SoporteVenta"/>
    <n v="571526"/>
    <n v="0"/>
    <n v="0"/>
    <s v="Cr√©dito"/>
    <s v="En Caja Operacional"/>
    <n v="11847"/>
    <m/>
    <n v="571526"/>
    <n v="480273.94957983197"/>
  </r>
  <r>
    <s v="Linares"/>
    <n v="221091"/>
    <d v="2025-12-26T09:42:32"/>
    <s v="66666666-6"/>
    <s v="Cliente LINARES Generico"/>
    <x v="1"/>
    <s v="Linares"/>
    <s v="Eduardo"/>
    <n v="30446"/>
    <n v="0"/>
    <n v="0"/>
    <s v="D√©bito"/>
    <s v="En Caja Operacional"/>
    <n v="6003"/>
    <m/>
    <n v="30446"/>
    <n v="25584.873949579833"/>
  </r>
  <r>
    <s v="Antillanca"/>
    <n v="221090"/>
    <d v="2025-12-26T09:33:53"/>
    <s v="76577908-1"/>
    <s v="ALDO Y LUIS SPA"/>
    <x v="3"/>
    <s v="Antillanca"/>
    <s v="Nataly"/>
    <n v="639480"/>
    <n v="0"/>
    <n v="0"/>
    <s v="Efectivo"/>
    <s v="En Caja Operacional"/>
    <m/>
    <m/>
    <n v="639480"/>
    <n v="537378.15126050427"/>
  </r>
  <r>
    <s v="Antillanca"/>
    <n v="221089"/>
    <d v="2025-12-26T09:30:42"/>
    <s v="81906800-3"/>
    <s v="SCHUFTAN HERMANOS Y COMPANIA LIMITADA"/>
    <x v="13"/>
    <s v="Antillanca"/>
    <s v="Nataly"/>
    <n v="158332"/>
    <n v="0"/>
    <n v="0"/>
    <s v="Transferencia"/>
    <s v="En Caja Operacional"/>
    <n v="306"/>
    <m/>
    <n v="158332"/>
    <n v="133052.10084033615"/>
  </r>
  <r>
    <s v="Antillanca"/>
    <n v="221088"/>
    <d v="2025-12-26T09:25:48"/>
    <s v="84730900-8"/>
    <s v="TRANSPORTES SEKULOVIC Y COMPANIA LIMITADA"/>
    <x v="13"/>
    <s v="Antillanca"/>
    <s v="Nataly"/>
    <n v="1360960"/>
    <n v="0"/>
    <n v="0"/>
    <s v="Transferencia"/>
    <s v="En Caja Operacional"/>
    <n v="165"/>
    <m/>
    <n v="1360960"/>
    <n v="1143663.8655462186"/>
  </r>
  <r>
    <s v="Ovalle"/>
    <n v="221087"/>
    <d v="2025-12-26T09:23:40"/>
    <s v="66666666-6"/>
    <s v="Cliente OVALLE Generico"/>
    <x v="6"/>
    <s v="Ovalle"/>
    <s v="Emilio"/>
    <n v="30836"/>
    <n v="0"/>
    <n v="0"/>
    <s v="Efectivo"/>
    <s v="En Caja Operacional"/>
    <m/>
    <m/>
    <n v="30836"/>
    <n v="25912.605042016807"/>
  </r>
  <r>
    <s v="Antillanca"/>
    <n v="221086"/>
    <d v="2025-12-26T09:20:32"/>
    <s v="77410975-7"/>
    <s v="TRANSPORTES AHIMELEC SPA"/>
    <x v="9"/>
    <s v="Antillanca"/>
    <s v="Nataly"/>
    <n v="247005"/>
    <n v="0"/>
    <n v="0"/>
    <s v="Transferencia"/>
    <s v="En Caja Operacional"/>
    <n v="220"/>
    <m/>
    <n v="247005"/>
    <n v="207567.22689075631"/>
  </r>
  <r>
    <s v="Antillanca"/>
    <n v="221085"/>
    <d v="2025-12-26T09:16:28"/>
    <s v="81906800-3"/>
    <s v="SCHUFTAN HERMANOS Y COMPANIA LIMITADA"/>
    <x v="13"/>
    <s v="Antillanca"/>
    <s v="Nataly"/>
    <n v="300000"/>
    <n v="0"/>
    <n v="0"/>
    <s v="Transferencia"/>
    <s v="En Caja Operacional"/>
    <n v="174"/>
    <m/>
    <n v="300000"/>
    <n v="252100.84033613445"/>
  </r>
  <r>
    <s v="Antillanca"/>
    <n v="221084"/>
    <d v="2025-12-26T08:28:48"/>
    <s v="16743246-8"/>
    <s v="ALEXY ANDRES IBANEZ"/>
    <x v="12"/>
    <s v="Antillanca"/>
    <s v="Nataly"/>
    <n v="68957"/>
    <n v="0"/>
    <n v="0"/>
    <s v="Transferencia"/>
    <s v="En Caja Operacional"/>
    <n v="268"/>
    <m/>
    <n v="68957"/>
    <n v="57947.058823529413"/>
  </r>
  <r>
    <s v="Geronimo Mendez"/>
    <n v="221083"/>
    <d v="2025-12-24T13:35:26"/>
    <s v="14100763-7"/>
    <s v="EMILIO BUGUE√ëO"/>
    <x v="0"/>
    <s v="Contraloria"/>
    <s v="Selene"/>
    <n v="269492"/>
    <n v="0"/>
    <n v="0"/>
    <s v="Transferencia"/>
    <s v="En Caja Operacional"/>
    <n v="275630"/>
    <m/>
    <n v="269492"/>
    <n v="226463.8655462185"/>
  </r>
  <r>
    <s v="Geronimo Mendez"/>
    <n v="221082"/>
    <d v="2025-12-24T13:27:20"/>
    <s v="76668592-7"/>
    <s v="REPUESTOS AUT. PEDRO REYNUABA E.I.R.L."/>
    <x v="4"/>
    <s v="Contraloria"/>
    <s v="Selene"/>
    <n v="254249"/>
    <n v="0"/>
    <n v="0"/>
    <s v="Transferencia"/>
    <s v="En Caja Operacional"/>
    <n v="275593"/>
    <m/>
    <n v="204204"/>
    <n v="171600"/>
  </r>
  <r>
    <s v="Geronimo Mendez"/>
    <n v="221082"/>
    <d v="2025-12-24T13:27:20"/>
    <s v="76668592-7"/>
    <s v="REPUESTOS AUT. PEDRO REYNUABA E.I.R.L."/>
    <x v="4"/>
    <s v="Contraloria"/>
    <s v="Selene"/>
    <n v="254249"/>
    <n v="0"/>
    <n v="0"/>
    <s v="Transferencia"/>
    <s v="En Caja Operacional"/>
    <n v="275593"/>
    <m/>
    <n v="50045"/>
    <n v="42054.621848739494"/>
  </r>
  <r>
    <s v="Geronimo Mendez"/>
    <n v="221081"/>
    <d v="2025-12-24T13:22:58"/>
    <s v="77772361-8"/>
    <s v="INVERSIONES JP CORTES SPA"/>
    <x v="4"/>
    <s v="Contraloria"/>
    <s v="Selene"/>
    <n v="77116"/>
    <n v="0"/>
    <n v="0"/>
    <s v="Transferencia"/>
    <s v="En Caja Operacional"/>
    <n v="275595"/>
    <m/>
    <n v="77116"/>
    <n v="64803.361344537821"/>
  </r>
  <r>
    <s v="Geronimo Mendez"/>
    <n v="221080"/>
    <d v="2025-12-24T13:20:23"/>
    <s v="11784668-7"/>
    <s v="LAURA ANTONIETA CASTRO"/>
    <x v="4"/>
    <s v="Contraloria"/>
    <s v="Selene"/>
    <n v="462573"/>
    <n v="0"/>
    <n v="0"/>
    <s v="Transferencia"/>
    <s v="En Caja Operacional"/>
    <n v="275596"/>
    <m/>
    <n v="462573"/>
    <n v="388716.80672268907"/>
  </r>
  <r>
    <s v="Geronimo Mendez"/>
    <n v="221079"/>
    <d v="2025-12-24T13:19:05"/>
    <s v="76723567-4"/>
    <s v="MANT. AUTOMOTRICES JOSE LUIS PARADA EMPRESA INDIVIDUAL"/>
    <x v="4"/>
    <s v="Contraloria"/>
    <s v="Selene"/>
    <n v="592031"/>
    <n v="0"/>
    <n v="0"/>
    <s v="Transferencia"/>
    <s v="En Caja Operacional"/>
    <n v="275597"/>
    <m/>
    <n v="592031"/>
    <n v="497505.04201680672"/>
  </r>
  <r>
    <s v="Geronimo Mendez"/>
    <n v="221078"/>
    <d v="2025-12-24T13:17:18"/>
    <s v="9829395-7"/>
    <s v="JUAN ROBERTO CORDOVA"/>
    <x v="0"/>
    <s v="Contraloria"/>
    <s v="Selene"/>
    <n v="206793"/>
    <n v="0"/>
    <n v="0"/>
    <s v="Transferencia"/>
    <s v="En Caja Operacional"/>
    <n v="275629"/>
    <m/>
    <n v="206793"/>
    <n v="173775.63025210085"/>
  </r>
  <r>
    <s v="Geronimo Mendez"/>
    <n v="221077"/>
    <d v="2025-12-24T13:15:54"/>
    <s v="79828540-8"/>
    <s v="TRANSPORTES TRANEX LTDA."/>
    <x v="0"/>
    <s v="Contraloria"/>
    <s v="Selene"/>
    <n v="664996"/>
    <n v="0"/>
    <n v="0"/>
    <s v="Transferencia"/>
    <s v="En Caja Operacional"/>
    <n v="275628"/>
    <m/>
    <n v="664996"/>
    <n v="558820.16806722688"/>
  </r>
  <r>
    <s v="Geronimo Mendez"/>
    <n v="221076"/>
    <d v="2025-12-24T13:12:59"/>
    <s v="16162344-K"/>
    <s v="NILDA LOPEZ"/>
    <x v="0"/>
    <s v="Contraloria"/>
    <s v="Selene"/>
    <n v="243356"/>
    <n v="0"/>
    <n v="0"/>
    <s v="Transferencia"/>
    <s v="En Caja Operacional"/>
    <n v="275631"/>
    <m/>
    <n v="110356"/>
    <n v="92736.134453781517"/>
  </r>
  <r>
    <s v="Geronimo Mendez"/>
    <n v="221076"/>
    <d v="2025-12-24T13:12:59"/>
    <s v="16162344-K"/>
    <s v="NILDA LOPEZ"/>
    <x v="0"/>
    <s v="Contraloria"/>
    <s v="Selene"/>
    <n v="243356"/>
    <n v="0"/>
    <n v="0"/>
    <s v="Transferencia"/>
    <s v="En Caja Operacional"/>
    <n v="275631"/>
    <m/>
    <n v="133000"/>
    <n v="111764.70588235295"/>
  </r>
  <r>
    <s v="Rojas Magallanes"/>
    <n v="221075"/>
    <d v="2025-12-24T13:06:36"/>
    <s v="66666666-6"/>
    <s v="Cliente ROJAS MAGALLANES Generico"/>
    <x v="5"/>
    <s v="Rojas Magallanes"/>
    <s v="Marisol"/>
    <n v="4731"/>
    <n v="0"/>
    <n v="0"/>
    <s v="Efectivo"/>
    <s v="En Caja Operacional"/>
    <m/>
    <m/>
    <n v="4731"/>
    <n v="3975.6302521008406"/>
  </r>
  <r>
    <s v="Geronimo Mendez"/>
    <n v="221074"/>
    <d v="2025-12-24T13:01:08"/>
    <s v="77749711-1"/>
    <s v="TRANSPORTES MORENO HERMANOS SPA"/>
    <x v="0"/>
    <s v="Ventas Local"/>
    <s v="SoporteVenta"/>
    <n v="183419"/>
    <n v="0"/>
    <n v="0"/>
    <s v="D√©bito"/>
    <s v="En Caja Operacional"/>
    <n v="3412"/>
    <m/>
    <n v="183419"/>
    <n v="154133.61344537817"/>
  </r>
  <r>
    <s v="Geronimo Mendez"/>
    <n v="221073"/>
    <d v="2025-12-24T12:44:41"/>
    <s v="9062686-8"/>
    <s v="SERGIO CASTILLO"/>
    <x v="0"/>
    <s v="Contraloria"/>
    <s v="Selene"/>
    <n v="249975"/>
    <n v="0"/>
    <n v="0"/>
    <s v="Transferencia"/>
    <s v="En Caja Operacional"/>
    <n v="275632"/>
    <m/>
    <n v="249975"/>
    <n v="210063.02521008404"/>
  </r>
  <r>
    <s v="Geronimo Mendez"/>
    <n v="221072"/>
    <d v="2025-12-24T12:24:35"/>
    <s v="77796492-5"/>
    <s v="TRANSPORTES D SABIMEL SPA"/>
    <x v="8"/>
    <s v="Ventas Local"/>
    <s v="Maiko"/>
    <n v="196493"/>
    <n v="0"/>
    <n v="0"/>
    <s v="D√©bito"/>
    <s v="En Caja Operacional"/>
    <n v="654385"/>
    <m/>
    <n v="196493"/>
    <n v="165120.16806722688"/>
  </r>
  <r>
    <s v="Geronimo Mendez"/>
    <n v="221071"/>
    <d v="2025-12-24T12:23:35"/>
    <s v="76554146-8"/>
    <s v="MULTISERVICIOS J C LIMITADA"/>
    <x v="0"/>
    <s v="Contraloria"/>
    <s v="Selene"/>
    <n v="582757"/>
    <n v="0"/>
    <n v="0"/>
    <s v="Transferencia"/>
    <s v="En Caja Operacional"/>
    <n v="275633"/>
    <m/>
    <n v="582757"/>
    <n v="489711.76470588235"/>
  </r>
  <r>
    <s v="Geronimo Mendez"/>
    <n v="221070"/>
    <d v="2025-12-24T12:22:09"/>
    <s v="10903317-0"/>
    <s v="ISAIAS ENRIQUE ALFARO"/>
    <x v="4"/>
    <s v="Contraloria"/>
    <s v="Selene"/>
    <n v="187208"/>
    <n v="0"/>
    <n v="0"/>
    <s v="Transferencia"/>
    <s v="En Caja Operacional"/>
    <n v="275586"/>
    <m/>
    <n v="187208"/>
    <n v="157317.64705882352"/>
  </r>
  <r>
    <s v="Geronimo Mendez"/>
    <n v="221069"/>
    <d v="2025-12-24T12:21:03"/>
    <s v="77951558-3"/>
    <s v="CARS FIX SPA"/>
    <x v="4"/>
    <s v="Contraloria"/>
    <s v="Selene"/>
    <n v="381560"/>
    <n v="0"/>
    <n v="0"/>
    <s v="Transferencia"/>
    <s v="En Caja Operacional"/>
    <n v="275589"/>
    <m/>
    <n v="381560"/>
    <n v="320638.65546218486"/>
  </r>
  <r>
    <s v="Geronimo Mendez"/>
    <n v="221068"/>
    <d v="2025-12-24T12:19:56"/>
    <s v="10906275-8"/>
    <s v="FRANCISCO ONEILL"/>
    <x v="4"/>
    <s v="Contraloria"/>
    <s v="Selene"/>
    <n v="392771"/>
    <n v="0"/>
    <n v="0"/>
    <s v="Transferencia"/>
    <s v="En Caja Operacional"/>
    <n v="275590"/>
    <m/>
    <n v="392771"/>
    <n v="330059.66386554623"/>
  </r>
  <r>
    <s v="Geronimo Mendez"/>
    <n v="221067"/>
    <d v="2025-12-24T12:18:25"/>
    <s v="77792779-5"/>
    <s v="REPUESTOS CARFAT LIMITADA"/>
    <x v="4"/>
    <s v="Contraloria"/>
    <s v="Selene"/>
    <n v="393537"/>
    <n v="0"/>
    <n v="0"/>
    <s v="Transferencia"/>
    <s v="En Caja Operacional"/>
    <n v="275592"/>
    <m/>
    <n v="184384"/>
    <n v="154944.53781512607"/>
  </r>
  <r>
    <s v="Geronimo Mendez"/>
    <n v="221067"/>
    <d v="2025-12-24T12:18:25"/>
    <s v="77792779-5"/>
    <s v="REPUESTOS CARFAT LIMITADA"/>
    <x v="4"/>
    <s v="Contraloria"/>
    <s v="Selene"/>
    <n v="393537"/>
    <n v="0"/>
    <n v="0"/>
    <s v="Transferencia"/>
    <s v="En Caja Operacional"/>
    <n v="275591"/>
    <m/>
    <n v="209153"/>
    <n v="175758.82352941178"/>
  </r>
  <r>
    <s v="Rojas Magallanes"/>
    <n v="221066"/>
    <d v="2025-12-24T12:17:16"/>
    <s v="66666666-6"/>
    <s v="Cliente ROJAS MAGALLANES Generico"/>
    <x v="5"/>
    <s v="Rojas Magallanes"/>
    <s v="Marisol"/>
    <n v="48929"/>
    <n v="0"/>
    <n v="0"/>
    <s v="D√©bito"/>
    <s v="En Caja Operacional"/>
    <n v="297026"/>
    <m/>
    <n v="48929"/>
    <n v="41116.806722689078"/>
  </r>
  <r>
    <s v="Geronimo Mendez"/>
    <n v="221065"/>
    <d v="2025-12-24T12:17:05"/>
    <s v="6276438-4"/>
    <s v="IVAR TORRES"/>
    <x v="8"/>
    <s v="Ventas Local"/>
    <s v="Maiko"/>
    <n v="203795"/>
    <n v="0"/>
    <n v="0"/>
    <s v="D√©bito"/>
    <s v="En Caja Operacional"/>
    <n v="164454"/>
    <m/>
    <n v="203795"/>
    <n v="171256.30252100842"/>
  </r>
  <r>
    <s v="Geronimo Mendez"/>
    <n v="221064"/>
    <d v="2025-12-24T12:16:02"/>
    <s v="78107094-7"/>
    <s v="REPUESTOS H Y E SPA"/>
    <x v="4"/>
    <s v="Contraloria"/>
    <s v="Selene"/>
    <n v="362336"/>
    <n v="0"/>
    <n v="0"/>
    <s v="Transferencia"/>
    <s v="En Caja Operacional"/>
    <n v="275581"/>
    <m/>
    <n v="362336"/>
    <n v="304484.03361344541"/>
  </r>
  <r>
    <s v="Geronimo Mendez"/>
    <n v="221063"/>
    <d v="2025-12-24T12:15:08"/>
    <s v="11807250-2"/>
    <s v="HERNAN FERNANDO THENOUX"/>
    <x v="4"/>
    <s v="Contraloria"/>
    <s v="Selene"/>
    <n v="564632"/>
    <n v="0"/>
    <n v="0"/>
    <s v="Transferencia"/>
    <s v="En Caja Operacional"/>
    <n v="275585"/>
    <m/>
    <n v="94563"/>
    <n v="79464.705882352951"/>
  </r>
  <r>
    <s v="Geronimo Mendez"/>
    <n v="221063"/>
    <d v="2025-12-24T12:15:08"/>
    <s v="11807250-2"/>
    <s v="HERNAN FERNANDO THENOUX"/>
    <x v="4"/>
    <s v="Contraloria"/>
    <s v="Selene"/>
    <n v="564632"/>
    <n v="0"/>
    <n v="0"/>
    <s v="Transferencia"/>
    <s v="En Caja Operacional"/>
    <n v="275585"/>
    <m/>
    <n v="252006"/>
    <n v="211769.74789915967"/>
  </r>
  <r>
    <s v="Geronimo Mendez"/>
    <n v="221063"/>
    <d v="2025-12-24T12:15:08"/>
    <s v="11807250-2"/>
    <s v="HERNAN FERNANDO THENOUX"/>
    <x v="4"/>
    <s v="Contraloria"/>
    <s v="Selene"/>
    <n v="564632"/>
    <n v="0"/>
    <n v="0"/>
    <s v="Transferencia"/>
    <s v="En Caja Operacional"/>
    <n v="275585"/>
    <m/>
    <n v="70179"/>
    <n v="58973.949579831933"/>
  </r>
  <r>
    <s v="Geronimo Mendez"/>
    <n v="221063"/>
    <d v="2025-12-24T12:15:08"/>
    <s v="11807250-2"/>
    <s v="HERNAN FERNANDO THENOUX"/>
    <x v="4"/>
    <s v="Contraloria"/>
    <s v="Selene"/>
    <n v="564632"/>
    <n v="0"/>
    <n v="0"/>
    <s v="Transferencia"/>
    <s v="En Caja Operacional"/>
    <n v="275585"/>
    <m/>
    <n v="147884"/>
    <n v="124272.26890756303"/>
  </r>
  <r>
    <s v="Ovalle"/>
    <n v="221062"/>
    <d v="2025-12-24T12:13:11"/>
    <s v="66666666-6"/>
    <s v="Cliente OVALLE Generico"/>
    <x v="6"/>
    <s v="Ovalle"/>
    <s v="Emilio"/>
    <n v="30933"/>
    <n v="0"/>
    <n v="0"/>
    <s v="D√©bito"/>
    <s v="En Caja Operacional"/>
    <n v="239024"/>
    <m/>
    <n v="30933"/>
    <n v="25994.117647058825"/>
  </r>
  <r>
    <s v="Linares"/>
    <n v="221061"/>
    <d v="2025-12-24T11:54:25"/>
    <s v="9262987-2"/>
    <s v="EDUARDO ENRIQUE PONCE"/>
    <x v="1"/>
    <s v="Linares"/>
    <s v="Eduardo"/>
    <n v="67544"/>
    <n v="0"/>
    <n v="0"/>
    <s v="Efectivo"/>
    <s v="En Caja Operacional"/>
    <m/>
    <m/>
    <n v="61044"/>
    <n v="51297.478991596639"/>
  </r>
  <r>
    <s v="Linares"/>
    <n v="221061"/>
    <d v="2025-12-24T11:54:25"/>
    <s v="9262987-2"/>
    <s v="EDUARDO ENRIQUE PONCE"/>
    <x v="1"/>
    <s v="Linares"/>
    <s v="Eduardo"/>
    <n v="67544"/>
    <n v="0"/>
    <n v="0"/>
    <s v="D√©bito"/>
    <s v="En Caja Operacional"/>
    <n v="8180"/>
    <m/>
    <n v="6500"/>
    <n v="5462.1848739495799"/>
  </r>
  <r>
    <s v="Antillanca"/>
    <n v="221060"/>
    <d v="2025-12-24T11:14:29"/>
    <s v="77346234-8"/>
    <s v="MULTISERVICIOS J Y L SPA"/>
    <x v="12"/>
    <s v="Antillanca"/>
    <s v="Nataly"/>
    <n v="177719"/>
    <n v="0"/>
    <n v="0"/>
    <s v="Transferencia"/>
    <s v="En Caja Operacional"/>
    <n v="298"/>
    <m/>
    <n v="177719"/>
    <n v="149343.69747899161"/>
  </r>
  <r>
    <s v="Antillanca"/>
    <n v="221059"/>
    <d v="2025-12-24T11:12:07"/>
    <s v="77284605-3"/>
    <s v="COMERCIAL JESSY CYS LIMITADA"/>
    <x v="12"/>
    <s v="Antillanca"/>
    <s v="Nataly"/>
    <n v="128264"/>
    <n v="0"/>
    <n v="0"/>
    <s v="Transferencia"/>
    <s v="En Caja Operacional"/>
    <n v="163"/>
    <m/>
    <n v="128264"/>
    <n v="107784.87394957984"/>
  </r>
  <r>
    <s v="Geronimo Mendez"/>
    <n v="221058"/>
    <d v="2025-12-24T11:11:42"/>
    <s v="66666666-6"/>
    <s v="Cliente GERONIMO MENDEZ Generico"/>
    <x v="8"/>
    <s v="Ventas Local"/>
    <s v="Maiko"/>
    <n v="32242"/>
    <n v="0"/>
    <n v="0"/>
    <s v="Efectivo"/>
    <s v="En Caja Operacional"/>
    <m/>
    <m/>
    <n v="32242"/>
    <n v="27094.117647058825"/>
  </r>
  <r>
    <s v="Ovalle"/>
    <n v="221057"/>
    <d v="2025-12-24T11:07:44"/>
    <s v="12569531-0"/>
    <s v="EMILIO SANTOS"/>
    <x v="6"/>
    <s v="Ovalle"/>
    <s v="Emilio"/>
    <n v="198952"/>
    <n v="0"/>
    <n v="0"/>
    <s v="Efectivo"/>
    <s v="En Caja Operacional"/>
    <m/>
    <m/>
    <n v="198952"/>
    <n v="167186.55462184874"/>
  </r>
  <r>
    <s v="Antillanca"/>
    <n v="221056"/>
    <d v="2025-12-24T10:54:39"/>
    <s v="87666100-4"/>
    <s v="TRANSPORTES INTERANDINOS S.A."/>
    <x v="16"/>
    <s v="Antillanca"/>
    <s v="Nataly"/>
    <n v="2443784"/>
    <n v="0"/>
    <n v="0"/>
    <s v="Transferencia"/>
    <s v="En Caja Operacional"/>
    <n v="302"/>
    <m/>
    <n v="2443784"/>
    <n v="2053600"/>
  </r>
  <r>
    <s v="Rojas Magallanes"/>
    <n v="221055"/>
    <d v="2025-12-24T10:47:25"/>
    <s v="66666666-6"/>
    <s v="Cliente ROJAS MAGALLANES Generico"/>
    <x v="5"/>
    <s v="Rojas Magallanes"/>
    <s v="Marisol"/>
    <n v="6566"/>
    <n v="0"/>
    <n v="0"/>
    <s v="Efectivo"/>
    <s v="En Caja Operacional"/>
    <m/>
    <m/>
    <n v="6566"/>
    <n v="5517.6470588235297"/>
  </r>
  <r>
    <s v="Geronimo Mendez"/>
    <n v="221054"/>
    <d v="2025-12-24T10:35:14"/>
    <s v="77819091-5"/>
    <s v="UFLEX SPA"/>
    <x v="6"/>
    <s v="Cobranzas"/>
    <s v="Maria"/>
    <n v="297713"/>
    <n v="0"/>
    <n v="0"/>
    <s v="Efectivo"/>
    <s v="En Caja Operacional"/>
    <m/>
    <m/>
    <n v="297713"/>
    <n v="250178.99159663866"/>
  </r>
  <r>
    <s v="Geronimo Mendez"/>
    <n v="221053"/>
    <d v="2025-12-24T10:34:24"/>
    <s v="76540808-3"/>
    <s v="SOCIEDAD DE TRANSPORTES KORONA LIMITADA"/>
    <x v="0"/>
    <s v="Cobranzas"/>
    <s v="Maria"/>
    <n v="400000"/>
    <n v="0"/>
    <n v="0"/>
    <s v="Efectivo"/>
    <s v="En Caja Operacional"/>
    <m/>
    <m/>
    <n v="400000"/>
    <n v="336134.45378151262"/>
  </r>
  <r>
    <s v="Geronimo Mendez"/>
    <n v="221052"/>
    <d v="2025-12-24T10:33:41"/>
    <s v="76086334-3"/>
    <s v="VALENZUELA E HIJOS LTDA."/>
    <x v="3"/>
    <s v="Cobranzas"/>
    <s v="Maria"/>
    <n v="294557"/>
    <n v="0"/>
    <n v="0"/>
    <s v="Efectivo"/>
    <s v="En Caja Operacional"/>
    <m/>
    <m/>
    <n v="294557"/>
    <n v="247526.89075630254"/>
  </r>
  <r>
    <s v="Geronimo Mendez"/>
    <n v="221051"/>
    <d v="2025-12-24T10:32:58"/>
    <s v="76086334-3"/>
    <s v="VALENZUELA E HIJOS LTDA."/>
    <x v="3"/>
    <s v="Cobranzas"/>
    <s v="Maria"/>
    <n v="240326"/>
    <n v="0"/>
    <n v="0"/>
    <s v="Efectivo"/>
    <s v="En Caja Operacional"/>
    <m/>
    <m/>
    <n v="240326"/>
    <n v="201954.62184873951"/>
  </r>
  <r>
    <s v="Geronimo Mendez"/>
    <n v="221050"/>
    <d v="2025-12-24T10:31:59"/>
    <s v="76086334-3"/>
    <s v="VALENZUELA E HIJOS LTDA."/>
    <x v="3"/>
    <s v="Cobranzas"/>
    <s v="Maria"/>
    <n v="240326"/>
    <n v="0"/>
    <n v="0"/>
    <s v="Efectivo"/>
    <s v="En Caja Operacional"/>
    <m/>
    <m/>
    <n v="240326"/>
    <n v="201954.62184873951"/>
  </r>
  <r>
    <s v="Geronimo Mendez"/>
    <n v="221049"/>
    <d v="2025-12-24T10:31:06"/>
    <s v="76086334-3"/>
    <s v="VALENZUELA E HIJOS LTDA."/>
    <x v="3"/>
    <s v="Cobranzas"/>
    <s v="Maria"/>
    <n v="210356"/>
    <n v="0"/>
    <n v="0"/>
    <s v="Efectivo"/>
    <s v="En Caja Operacional"/>
    <m/>
    <m/>
    <n v="210356"/>
    <n v="176769.74789915967"/>
  </r>
  <r>
    <s v="Geronimo Mendez"/>
    <n v="221048"/>
    <d v="2025-12-24T10:24:24"/>
    <s v="78181022-3"/>
    <s v="VENTAS Y SERVICIOS TAURO SPA"/>
    <x v="4"/>
    <s v="Ventas Local"/>
    <s v="SoporteVenta"/>
    <n v="71789"/>
    <n v="0"/>
    <n v="0"/>
    <s v="Transferencia"/>
    <s v="En Caja Operacional"/>
    <n v="307"/>
    <m/>
    <n v="71789"/>
    <n v="60326.89075630252"/>
  </r>
  <r>
    <s v="Linares"/>
    <n v="221047"/>
    <d v="2025-12-24T10:21:25"/>
    <s v="66666666-6"/>
    <s v="Cliente LINARES Generico"/>
    <x v="1"/>
    <s v="Linares"/>
    <s v="Eduardo"/>
    <n v="70594"/>
    <n v="0"/>
    <n v="0"/>
    <s v="Efectivo"/>
    <s v="En Caja Operacional"/>
    <m/>
    <m/>
    <n v="70594"/>
    <n v="59322.689075630253"/>
  </r>
  <r>
    <s v="Linares"/>
    <n v="221046"/>
    <d v="2025-12-24T10:17:48"/>
    <s v="66666666-6"/>
    <s v="Cliente LINARES Generico"/>
    <x v="1"/>
    <s v="Linares"/>
    <s v="Eduardo"/>
    <n v="31475"/>
    <n v="0"/>
    <n v="0"/>
    <s v="D√©bito"/>
    <s v="En Caja Operacional"/>
    <n v="715756"/>
    <m/>
    <n v="31475"/>
    <n v="26449.579831932773"/>
  </r>
  <r>
    <s v="Linares"/>
    <n v="221045"/>
    <d v="2025-12-24T10:02:18"/>
    <s v="66666666-6"/>
    <s v="Cliente LINARES Generico"/>
    <x v="1"/>
    <s v="Linares"/>
    <s v="Eduardo"/>
    <n v="150020"/>
    <n v="0"/>
    <n v="0"/>
    <s v="Cr√©dito"/>
    <s v="En Caja Operacional"/>
    <n v="552838"/>
    <m/>
    <n v="150020"/>
    <n v="126067.22689075631"/>
  </r>
  <r>
    <s v="Linares"/>
    <n v="221044"/>
    <d v="2025-12-24T09:55:17"/>
    <s v="66666666-6"/>
    <s v="Cliente LINARES Generico"/>
    <x v="1"/>
    <s v="Linares"/>
    <s v="Eduardo"/>
    <n v="16840"/>
    <n v="0"/>
    <n v="0"/>
    <s v="Efectivo"/>
    <s v="En Caja Operacional"/>
    <m/>
    <m/>
    <n v="16840"/>
    <n v="14151.260504201682"/>
  </r>
  <r>
    <s v="Linares"/>
    <n v="221043"/>
    <d v="2025-12-24T09:48:42"/>
    <s v="66666666-6"/>
    <s v="Cliente LINARES Generico"/>
    <x v="1"/>
    <s v="Linares"/>
    <s v="Eduardo"/>
    <n v="64914"/>
    <n v="0"/>
    <n v="0"/>
    <s v="Efectivo"/>
    <s v="En Caja Operacional"/>
    <m/>
    <m/>
    <n v="30000"/>
    <n v="25210.084033613446"/>
  </r>
  <r>
    <s v="Linares"/>
    <n v="221043"/>
    <d v="2025-12-24T09:48:42"/>
    <s v="66666666-6"/>
    <s v="Cliente LINARES Generico"/>
    <x v="1"/>
    <s v="Linares"/>
    <s v="Eduardo"/>
    <n v="64914"/>
    <n v="0"/>
    <n v="0"/>
    <s v="Cr√©dito"/>
    <s v="En Caja Operacional"/>
    <n v="368791"/>
    <m/>
    <n v="34914"/>
    <n v="29339.495798319331"/>
  </r>
  <r>
    <s v="Geronimo Mendez"/>
    <n v="221042"/>
    <d v="2025-12-24T09:37:58"/>
    <s v="78181022-3"/>
    <s v="VENTAS Y SERVICIOS TAURO SPA"/>
    <x v="4"/>
    <s v="Ventas Local"/>
    <s v="SoporteVenta"/>
    <n v="130517"/>
    <n v="0"/>
    <n v="0"/>
    <s v="Transferencia"/>
    <s v="En Caja Operacional"/>
    <n v="303"/>
    <m/>
    <n v="130517"/>
    <n v="109678.15126050421"/>
  </r>
  <r>
    <s v="Linares"/>
    <n v="221041"/>
    <d v="2025-12-24T09:23:30"/>
    <s v="66666666-6"/>
    <s v="Cliente LINARES Generico"/>
    <x v="1"/>
    <s v="Linares"/>
    <s v="Eduardo"/>
    <n v="31350"/>
    <n v="0"/>
    <n v="0"/>
    <s v="Cr√©dito"/>
    <s v="En Caja Operacional"/>
    <n v="348019"/>
    <m/>
    <n v="31350"/>
    <n v="26344.537815126052"/>
  </r>
  <r>
    <s v="Geronimo Mendez"/>
    <n v="221040"/>
    <d v="2025-12-24T09:18:06"/>
    <s v="77144853-4"/>
    <s v="COFRE TRANSPORTE Y SERVICIOS DE GRUAS SPA"/>
    <x v="8"/>
    <s v="Ventas Local"/>
    <s v="Maiko"/>
    <n v="536447"/>
    <n v="0"/>
    <n v="0"/>
    <s v="Cr√©dito"/>
    <s v="En Caja Operacional"/>
    <n v="352780"/>
    <m/>
    <n v="536447"/>
    <n v="450795.79831932776"/>
  </r>
  <r>
    <s v="Antillanca"/>
    <n v="221039"/>
    <d v="2025-12-24T08:38:00"/>
    <s v="17428348-6"/>
    <s v="NICOLAS BELTRAN"/>
    <x v="16"/>
    <s v="Antillanca"/>
    <s v="Nataly"/>
    <n v="37654"/>
    <n v="0"/>
    <n v="0"/>
    <s v="D√©bito"/>
    <s v="En Caja Operacional"/>
    <n v="4125"/>
    <m/>
    <n v="37654"/>
    <n v="31642.016806722691"/>
  </r>
  <r>
    <s v="Linares"/>
    <n v="221038"/>
    <d v="2025-12-23T17:53:14"/>
    <s v="66666666-6"/>
    <s v="Cliente LINARES Generico"/>
    <x v="1"/>
    <s v="Linares"/>
    <s v="Eduardo"/>
    <n v="50298"/>
    <n v="0"/>
    <n v="0"/>
    <s v="D√©bito"/>
    <s v="En Caja Operacional"/>
    <n v="315041"/>
    <m/>
    <n v="50298"/>
    <n v="42267.226890756305"/>
  </r>
  <r>
    <s v="Geronimo Mendez"/>
    <n v="221037"/>
    <d v="2025-12-23T17:52:28"/>
    <s v="76988551-K"/>
    <s v="COMERCIAL LUIS VERGARA VELASQUEZ"/>
    <x v="4"/>
    <s v="Contraloria"/>
    <s v="Selene"/>
    <n v="815769"/>
    <n v="0"/>
    <n v="0"/>
    <s v="Cheque"/>
    <s v="En Caja Operacional"/>
    <n v="5273326"/>
    <d v="2025-12-30T00:00:00"/>
    <n v="271923"/>
    <n v="228506.72268907563"/>
  </r>
  <r>
    <s v="Geronimo Mendez"/>
    <n v="221037"/>
    <d v="2025-12-23T17:52:28"/>
    <s v="76988551-K"/>
    <s v="COMERCIAL LUIS VERGARA VELASQUEZ"/>
    <x v="4"/>
    <s v="Contraloria"/>
    <s v="Selene"/>
    <n v="815769"/>
    <n v="0"/>
    <n v="0"/>
    <s v="Cheque"/>
    <s v="En Caja Operacional"/>
    <n v="5273324"/>
    <d v="2026-01-30T00:00:00"/>
    <n v="271923"/>
    <n v="228506.72268907563"/>
  </r>
  <r>
    <s v="Geronimo Mendez"/>
    <n v="221037"/>
    <d v="2025-12-23T17:52:28"/>
    <s v="76988551-K"/>
    <s v="COMERCIAL LUIS VERGARA VELASQUEZ"/>
    <x v="4"/>
    <s v="Contraloria"/>
    <s v="Selene"/>
    <n v="815769"/>
    <n v="0"/>
    <n v="0"/>
    <s v="Cheque"/>
    <s v="En Caja Operacional"/>
    <n v="5273325"/>
    <d v="2026-02-28T00:00:00"/>
    <n v="271923"/>
    <n v="228506.72268907563"/>
  </r>
  <r>
    <s v="Geronimo Mendez"/>
    <n v="221036"/>
    <d v="2025-12-23T17:49:30"/>
    <s v="12567904-8"/>
    <s v="ALEJANDRA ARAYA"/>
    <x v="4"/>
    <s v="Contraloria"/>
    <s v="Selene"/>
    <n v="1200579"/>
    <n v="0"/>
    <n v="0"/>
    <s v="Cheque"/>
    <s v="En Caja Operacional"/>
    <n v="5278698"/>
    <d v="2026-01-16T00:00:00"/>
    <n v="400000"/>
    <n v="336134.45378151262"/>
  </r>
  <r>
    <s v="Geronimo Mendez"/>
    <n v="221036"/>
    <d v="2025-12-23T17:49:30"/>
    <s v="12567904-8"/>
    <s v="ALEJANDRA ARAYA"/>
    <x v="4"/>
    <s v="Contraloria"/>
    <s v="Selene"/>
    <n v="1200579"/>
    <n v="0"/>
    <n v="0"/>
    <s v="Cheque"/>
    <s v="En Caja Operacional"/>
    <n v="5278699"/>
    <d v="2026-02-16T00:00:00"/>
    <n v="400000"/>
    <n v="336134.45378151262"/>
  </r>
  <r>
    <s v="Geronimo Mendez"/>
    <n v="221036"/>
    <d v="2025-12-23T17:49:30"/>
    <s v="12567904-8"/>
    <s v="ALEJANDRA ARAYA"/>
    <x v="4"/>
    <s v="Contraloria"/>
    <s v="Selene"/>
    <n v="1200579"/>
    <n v="0"/>
    <n v="0"/>
    <s v="Cheque"/>
    <s v="En Caja Operacional"/>
    <n v="5278700"/>
    <d v="2026-03-16T00:00:00"/>
    <n v="400579"/>
    <n v="336621.00840336137"/>
  </r>
  <r>
    <s v="Linares"/>
    <n v="221035"/>
    <d v="2025-12-23T17:48:57"/>
    <s v="66666666-6"/>
    <s v="Cliente LINARES Generico"/>
    <x v="1"/>
    <s v="Linares"/>
    <s v="Eduardo"/>
    <n v="26034"/>
    <n v="0"/>
    <n v="0"/>
    <s v="Efectivo"/>
    <s v="En Caja Operacional"/>
    <m/>
    <m/>
    <n v="34"/>
    <n v="28.571428571428573"/>
  </r>
  <r>
    <s v="Linares"/>
    <n v="221035"/>
    <d v="2025-12-23T17:48:57"/>
    <s v="66666666-6"/>
    <s v="Cliente LINARES Generico"/>
    <x v="1"/>
    <s v="Linares"/>
    <s v="Eduardo"/>
    <n v="26034"/>
    <n v="0"/>
    <n v="0"/>
    <s v="D√©bito"/>
    <s v="En Caja Operacional"/>
    <n v="609195"/>
    <m/>
    <n v="26000"/>
    <n v="21848.73949579832"/>
  </r>
  <r>
    <s v="Linares"/>
    <n v="221034"/>
    <d v="2025-12-23T17:43:06"/>
    <s v="7736882-5"/>
    <s v="HUGO GODOY"/>
    <x v="8"/>
    <s v="Linares"/>
    <s v="Eduardo"/>
    <n v="53076"/>
    <n v="0"/>
    <n v="0"/>
    <s v="D√©bito"/>
    <s v="En Caja Operacional"/>
    <n v="233033"/>
    <m/>
    <n v="53076"/>
    <n v="44601.680672268907"/>
  </r>
  <r>
    <s v="Geronimo Mendez"/>
    <n v="221033"/>
    <d v="2025-12-23T17:37:19"/>
    <s v="76413029-4"/>
    <s v="TRANSPORTES QUIROZ E HIJOS LIMITADA"/>
    <x v="9"/>
    <s v="Cobranzas"/>
    <s v="Maria"/>
    <n v="1228080"/>
    <n v="0"/>
    <n v="0"/>
    <s v="Cr√©dito"/>
    <s v="En Caja Operacional"/>
    <n v="276601"/>
    <m/>
    <n v="1228080"/>
    <n v="1032000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17"/>
    <d v="2026-01-04T00:00:00"/>
    <n v="325000"/>
    <n v="273109.24369747902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18"/>
    <d v="2026-01-11T00:00:00"/>
    <n v="325000"/>
    <n v="273109.24369747902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19"/>
    <d v="2026-01-18T00:00:00"/>
    <n v="325000"/>
    <n v="273109.24369747902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20"/>
    <d v="2026-01-25T00:00:00"/>
    <n v="325000"/>
    <n v="273109.24369747902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21"/>
    <d v="2026-02-01T00:00:00"/>
    <n v="325000"/>
    <n v="273109.24369747902"/>
  </r>
  <r>
    <s v="Geronimo Mendez"/>
    <n v="221032"/>
    <d v="2025-12-23T17:22:54"/>
    <s v="9811782-2"/>
    <s v="IVAN FLORES"/>
    <x v="4"/>
    <s v="Contraloria"/>
    <s v="Selene"/>
    <n v="1950623"/>
    <n v="0"/>
    <n v="0"/>
    <s v="Cheque"/>
    <s v="En Caja Operacional"/>
    <n v="36322"/>
    <d v="2026-02-08T00:00:00"/>
    <n v="325623"/>
    <n v="273632.77310924372"/>
  </r>
  <r>
    <s v="Linares"/>
    <n v="221031"/>
    <d v="2025-12-23T17:20:13"/>
    <s v="66666666-6"/>
    <s v="Cliente LINARES Generico"/>
    <x v="1"/>
    <s v="Linares"/>
    <s v="Eduardo"/>
    <n v="30739"/>
    <n v="0"/>
    <n v="0"/>
    <s v="D√©bito"/>
    <s v="En Caja Operacional"/>
    <n v="140958"/>
    <m/>
    <n v="30739"/>
    <n v="25831.092436974792"/>
  </r>
  <r>
    <s v="Rojas Magallanes"/>
    <n v="221030"/>
    <d v="2025-12-23T17:14:12"/>
    <s v="9320543-K"/>
    <s v="HECTOR OPAZO"/>
    <x v="12"/>
    <s v="Rojas Magallanes"/>
    <s v="Marisol"/>
    <n v="119206"/>
    <n v="0"/>
    <n v="0"/>
    <s v="Cheque"/>
    <s v="En Caja Operacional"/>
    <n v="3324897"/>
    <d v="2025-12-23T00:00:00"/>
    <n v="119206"/>
    <n v="100173.10924369749"/>
  </r>
  <r>
    <s v="Linares"/>
    <n v="221029"/>
    <d v="2025-12-23T17:13:00"/>
    <s v="66666666-6"/>
    <s v="Cliente LINARES Generico"/>
    <x v="1"/>
    <s v="Linares"/>
    <s v="Eduardo"/>
    <n v="39884"/>
    <n v="0"/>
    <n v="0"/>
    <s v="D√©bito"/>
    <s v="En Caja Operacional"/>
    <n v="2312"/>
    <m/>
    <n v="39884"/>
    <n v="33515.966386554624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59"/>
    <d v="2026-01-07T00:00:00"/>
    <n v="176000"/>
    <n v="147899.15966386555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60"/>
    <d v="2026-01-15T00:00:00"/>
    <n v="176000"/>
    <n v="147899.15966386555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61"/>
    <d v="2026-02-13T00:00:00"/>
    <n v="176000"/>
    <n v="147899.15966386555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62"/>
    <d v="2026-02-20T00:00:00"/>
    <n v="176000"/>
    <n v="147899.15966386555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63"/>
    <d v="2026-03-11T00:00:00"/>
    <n v="176000"/>
    <n v="147899.15966386555"/>
  </r>
  <r>
    <s v="Geronimo Mendez"/>
    <n v="221028"/>
    <d v="2025-12-23T16:57:31"/>
    <s v="12428245-4"/>
    <s v="IVAN OLIVARES"/>
    <x v="4"/>
    <s v="Contraloria"/>
    <s v="Selene"/>
    <n v="1058591"/>
    <n v="0"/>
    <n v="0"/>
    <s v="Cheque"/>
    <s v="En Caja Operacional"/>
    <n v="8497864"/>
    <d v="2026-03-18T00:00:00"/>
    <n v="178591"/>
    <n v="150076.4705882353"/>
  </r>
  <r>
    <s v="Geronimo Mendez"/>
    <n v="221027"/>
    <d v="2025-12-23T16:52:45"/>
    <s v="77384468-2"/>
    <s v="SOLO GOMAS SPA"/>
    <x v="4"/>
    <s v="Contraloria"/>
    <s v="Selene"/>
    <n v="495744"/>
    <n v="0"/>
    <n v="0"/>
    <s v="Cheque"/>
    <s v="En Caja Operacional"/>
    <n v="2440854"/>
    <d v="2026-01-17T00:00:00"/>
    <n v="165000"/>
    <n v="138655.46218487396"/>
  </r>
  <r>
    <s v="Geronimo Mendez"/>
    <n v="221027"/>
    <d v="2025-12-23T16:52:45"/>
    <s v="77384468-2"/>
    <s v="SOLO GOMAS SPA"/>
    <x v="4"/>
    <s v="Contraloria"/>
    <s v="Selene"/>
    <n v="495744"/>
    <n v="0"/>
    <n v="0"/>
    <s v="Cheque"/>
    <s v="En Caja Operacional"/>
    <n v="2440855"/>
    <d v="2026-01-24T00:00:00"/>
    <n v="165000"/>
    <n v="138655.46218487396"/>
  </r>
  <r>
    <s v="Geronimo Mendez"/>
    <n v="221027"/>
    <d v="2025-12-23T16:52:45"/>
    <s v="77384468-2"/>
    <s v="SOLO GOMAS SPA"/>
    <x v="4"/>
    <s v="Contraloria"/>
    <s v="Selene"/>
    <n v="495744"/>
    <n v="0"/>
    <n v="0"/>
    <s v="Cheque"/>
    <s v="En Caja Operacional"/>
    <n v="2440856"/>
    <d v="2026-01-31T00:00:00"/>
    <n v="165744"/>
    <n v="139280.67226890757"/>
  </r>
  <r>
    <s v="Geronimo Mendez"/>
    <n v="221026"/>
    <d v="2025-12-23T16:48:08"/>
    <s v="77814815-3"/>
    <s v="MECANICA Y REPUESTOS MILAN JAVIER ACIARES VEGA E.I.R.L."/>
    <x v="4"/>
    <s v="Contraloria"/>
    <s v="Selene"/>
    <n v="246472"/>
    <n v="0"/>
    <n v="0"/>
    <s v="Transferencia"/>
    <s v="En Caja Operacional"/>
    <n v="275578"/>
    <m/>
    <n v="246472"/>
    <n v="207119.32773109246"/>
  </r>
  <r>
    <s v="Geronimo Mendez"/>
    <n v="221025"/>
    <d v="2025-12-23T16:46:22"/>
    <s v="76560971-2"/>
    <s v="COMERCIALIZADORA Y SERVICIOS DO√ëA SOFIA"/>
    <x v="4"/>
    <s v="Contraloria"/>
    <s v="Selene"/>
    <n v="499245"/>
    <n v="0"/>
    <n v="0"/>
    <s v="Cheque"/>
    <s v="En Caja Operacional"/>
    <n v="794"/>
    <d v="2025-12-31T00:00:00"/>
    <n v="165000"/>
    <n v="138655.46218487396"/>
  </r>
  <r>
    <s v="Geronimo Mendez"/>
    <n v="221025"/>
    <d v="2025-12-23T16:46:22"/>
    <s v="76560971-2"/>
    <s v="COMERCIALIZADORA Y SERVICIOS DO√ëA SOFIA"/>
    <x v="4"/>
    <s v="Contraloria"/>
    <s v="Selene"/>
    <n v="499245"/>
    <n v="0"/>
    <n v="0"/>
    <s v="Cheque"/>
    <s v="En Caja Operacional"/>
    <n v="795"/>
    <d v="2026-01-31T00:00:00"/>
    <n v="165000"/>
    <n v="138655.46218487396"/>
  </r>
  <r>
    <s v="Geronimo Mendez"/>
    <n v="221025"/>
    <d v="2025-12-23T16:46:22"/>
    <s v="76560971-2"/>
    <s v="COMERCIALIZADORA Y SERVICIOS DO√ëA SOFIA"/>
    <x v="4"/>
    <s v="Contraloria"/>
    <s v="Selene"/>
    <n v="499245"/>
    <n v="0"/>
    <n v="0"/>
    <s v="Cheque"/>
    <s v="En Caja Operacional"/>
    <n v="796"/>
    <d v="2026-02-28T00:00:00"/>
    <n v="169245"/>
    <n v="142222.68907563025"/>
  </r>
  <r>
    <s v="Geronimo Mendez"/>
    <n v="221024"/>
    <d v="2025-12-23T16:42:07"/>
    <s v="77904873-K"/>
    <s v="LUBRICENTRO Y MECANICA YURI Y LUCIANO SPA"/>
    <x v="4"/>
    <s v="Contraloria"/>
    <s v="Selene"/>
    <n v="1428737"/>
    <n v="0"/>
    <n v="0"/>
    <s v="Cheque"/>
    <s v="En Caja Operacional"/>
    <n v="186"/>
    <d v="2026-01-30T00:00:00"/>
    <n v="476246"/>
    <n v="400206.72268907563"/>
  </r>
  <r>
    <s v="Geronimo Mendez"/>
    <n v="221024"/>
    <d v="2025-12-23T16:42:07"/>
    <s v="77904873-K"/>
    <s v="LUBRICENTRO Y MECANICA YURI Y LUCIANO SPA"/>
    <x v="4"/>
    <s v="Contraloria"/>
    <s v="Selene"/>
    <n v="1428737"/>
    <n v="0"/>
    <n v="0"/>
    <s v="Cheque"/>
    <s v="En Caja Operacional"/>
    <n v="187"/>
    <d v="2026-02-28T00:00:00"/>
    <n v="476246"/>
    <n v="400206.72268907563"/>
  </r>
  <r>
    <s v="Geronimo Mendez"/>
    <n v="221024"/>
    <d v="2025-12-23T16:42:07"/>
    <s v="77904873-K"/>
    <s v="LUBRICENTRO Y MECANICA YURI Y LUCIANO SPA"/>
    <x v="4"/>
    <s v="Contraloria"/>
    <s v="Selene"/>
    <n v="1428737"/>
    <n v="0"/>
    <n v="0"/>
    <s v="Cheque"/>
    <s v="En Caja Operacional"/>
    <n v="188"/>
    <d v="2026-03-30T00:00:00"/>
    <n v="476245"/>
    <n v="400205.8823529412"/>
  </r>
  <r>
    <s v="Geronimo Mendez"/>
    <n v="221023"/>
    <d v="2025-12-23T16:35:00"/>
    <s v="78198734-4"/>
    <s v="BARBRA REPUESTOS SPA"/>
    <x v="4"/>
    <s v="Contraloria"/>
    <s v="Selene"/>
    <n v="1068828"/>
    <n v="0"/>
    <n v="0"/>
    <s v="Transferencia"/>
    <s v="En Caja Operacional"/>
    <n v="275572"/>
    <m/>
    <n v="1068828"/>
    <n v="898174.78991596645"/>
  </r>
  <r>
    <s v="Geronimo Mendez"/>
    <n v="221022"/>
    <d v="2025-12-23T16:30:13"/>
    <s v="77755175-2"/>
    <s v="SOCIEDAD COMERCIAL BARLEJO SPA"/>
    <x v="4"/>
    <s v="Contraloria"/>
    <s v="Selene"/>
    <n v="1545276"/>
    <n v="0"/>
    <n v="0"/>
    <s v="Transferencia"/>
    <s v="En Caja Operacional"/>
    <n v="275569"/>
    <m/>
    <n v="1545276"/>
    <n v="1298551.2605042018"/>
  </r>
  <r>
    <s v="Geronimo Mendez"/>
    <n v="221021"/>
    <d v="2025-12-23T16:28:11"/>
    <s v="78109583-4"/>
    <s v="TRANSPORTES JUAN FERNANDEZ ARGANDONA EIRL"/>
    <x v="11"/>
    <s v="Contraloria"/>
    <s v="Selene"/>
    <n v="1342320"/>
    <n v="0"/>
    <n v="0"/>
    <s v="Transferencia"/>
    <s v="En Caja Operacional"/>
    <n v="267880"/>
    <m/>
    <n v="342320"/>
    <n v="287663.86554621853"/>
  </r>
  <r>
    <s v="Geronimo Mendez"/>
    <n v="221021"/>
    <d v="2025-12-23T16:28:11"/>
    <s v="78109583-4"/>
    <s v="TRANSPORTES JUAN FERNANDEZ ARGANDONA EIRL"/>
    <x v="11"/>
    <s v="Contraloria"/>
    <s v="Selene"/>
    <n v="1342320"/>
    <n v="0"/>
    <n v="0"/>
    <s v="Cheque"/>
    <s v="En Caja Operacional"/>
    <n v="2717647"/>
    <d v="2026-01-08T00:00:00"/>
    <n v="250000"/>
    <n v="210084.03361344538"/>
  </r>
  <r>
    <s v="Geronimo Mendez"/>
    <n v="221021"/>
    <d v="2025-12-23T16:28:11"/>
    <s v="78109583-4"/>
    <s v="TRANSPORTES JUAN FERNANDEZ ARGANDONA EIRL"/>
    <x v="11"/>
    <s v="Contraloria"/>
    <s v="Selene"/>
    <n v="1342320"/>
    <n v="0"/>
    <n v="0"/>
    <s v="Cheque"/>
    <s v="En Caja Operacional"/>
    <n v="2717648"/>
    <d v="2026-02-08T00:00:00"/>
    <n v="250000"/>
    <n v="210084.03361344538"/>
  </r>
  <r>
    <s v="Geronimo Mendez"/>
    <n v="221021"/>
    <d v="2025-12-23T16:28:11"/>
    <s v="78109583-4"/>
    <s v="TRANSPORTES JUAN FERNANDEZ ARGANDONA EIRL"/>
    <x v="11"/>
    <s v="Contraloria"/>
    <s v="Selene"/>
    <n v="1342320"/>
    <n v="0"/>
    <n v="0"/>
    <s v="Cheque"/>
    <s v="En Caja Operacional"/>
    <n v="2717649"/>
    <d v="2026-03-08T00:00:00"/>
    <n v="250000"/>
    <n v="210084.03361344538"/>
  </r>
  <r>
    <s v="Geronimo Mendez"/>
    <n v="221021"/>
    <d v="2025-12-23T16:28:11"/>
    <s v="78109583-4"/>
    <s v="TRANSPORTES JUAN FERNANDEZ ARGANDONA EIRL"/>
    <x v="11"/>
    <s v="Contraloria"/>
    <s v="Selene"/>
    <n v="1342320"/>
    <n v="0"/>
    <n v="0"/>
    <s v="Cheque"/>
    <s v="En Caja Operacional"/>
    <n v="2717650"/>
    <d v="2026-04-08T00:00:00"/>
    <n v="250000"/>
    <n v="210084.03361344538"/>
  </r>
  <r>
    <s v="Geronimo Mendez"/>
    <n v="221020"/>
    <d v="2025-12-23T16:25:59"/>
    <s v="16162344-K"/>
    <s v="NILDA LOPEZ"/>
    <x v="0"/>
    <s v="Cobranzas"/>
    <s v="Maria"/>
    <n v="133004"/>
    <n v="0"/>
    <n v="0"/>
    <s v="Transferencia"/>
    <s v="En Caja Operacional"/>
    <n v="272600"/>
    <m/>
    <n v="133004"/>
    <n v="111768.06722689077"/>
  </r>
  <r>
    <s v="Linares"/>
    <n v="221019"/>
    <d v="2025-12-23T16:15:16"/>
    <s v="14314067-9"/>
    <s v="JESSICA CORTES"/>
    <x v="8"/>
    <s v="Linares"/>
    <s v="Eduardo"/>
    <n v="48677"/>
    <n v="0"/>
    <n v="0"/>
    <s v="D√©bito"/>
    <s v="En Caja Operacional"/>
    <n v="6081"/>
    <m/>
    <n v="48677"/>
    <n v="40905.042016806721"/>
  </r>
  <r>
    <s v="Linares"/>
    <n v="221018"/>
    <d v="2025-12-23T16:08:27"/>
    <s v="66666666-6"/>
    <s v="Cliente LINARES Generico"/>
    <x v="1"/>
    <s v="Linares"/>
    <s v="Eduardo"/>
    <n v="33289"/>
    <n v="0"/>
    <n v="0"/>
    <s v="D√©bito"/>
    <s v="En Caja Operacional"/>
    <n v="737128"/>
    <m/>
    <n v="33289"/>
    <n v="27973.949579831933"/>
  </r>
  <r>
    <s v="Geronimo Mendez"/>
    <n v="221017"/>
    <d v="2025-12-23T16:01:40"/>
    <s v="12267788-5"/>
    <s v="CARLOS EDUARDO  CORREA"/>
    <x v="4"/>
    <s v="Ventas Local"/>
    <s v="SoporteVenta"/>
    <n v="373324"/>
    <n v="0"/>
    <n v="0"/>
    <s v="Efectivo"/>
    <s v="En Caja Operacional"/>
    <m/>
    <m/>
    <n v="373324"/>
    <n v="313717.64705882355"/>
  </r>
  <r>
    <s v="Geronimo Mendez"/>
    <n v="221016"/>
    <d v="2025-12-23T15:37:06"/>
    <s v="12839990-9"/>
    <s v="CRISTIAN PINEDA"/>
    <x v="8"/>
    <s v="Ventas Local"/>
    <s v="Maiko"/>
    <n v="120009"/>
    <n v="0"/>
    <n v="0"/>
    <s v="D√©bito"/>
    <s v="En Caja Operacional"/>
    <n v="655812"/>
    <m/>
    <n v="120009"/>
    <n v="100847.89915966387"/>
  </r>
  <r>
    <s v="Ovalle"/>
    <n v="221015"/>
    <d v="2025-12-23T15:26:34"/>
    <s v="66666666-6"/>
    <s v="Cliente OVALLE Generico"/>
    <x v="6"/>
    <s v="Ovalle"/>
    <s v="Emilio"/>
    <n v="7045"/>
    <n v="0"/>
    <n v="0"/>
    <s v="D√©bito"/>
    <s v="En Caja Operacional"/>
    <n v="584740"/>
    <m/>
    <n v="7045"/>
    <n v="5920.1680672268913"/>
  </r>
  <r>
    <s v="Rojas Magallanes"/>
    <n v="221014"/>
    <d v="2025-12-23T14:27:27"/>
    <s v="66666666-6"/>
    <s v="Cliente ROJAS MAGALLANES Generico"/>
    <x v="5"/>
    <s v="Rojas Magallanes"/>
    <s v="Marisol"/>
    <n v="144536"/>
    <n v="0"/>
    <n v="0"/>
    <s v="Cr√©dito"/>
    <s v="En Caja Operacional"/>
    <n v="122485"/>
    <m/>
    <n v="144536"/>
    <n v="121458.82352941178"/>
  </r>
  <r>
    <s v="Rojas Magallanes"/>
    <n v="221013"/>
    <d v="2025-12-23T13:13:29"/>
    <s v="66666666-6"/>
    <s v="Cliente ROJAS MAGALLANES Generico"/>
    <x v="5"/>
    <s v="Rojas Magallanes"/>
    <s v="Marisol"/>
    <n v="52150"/>
    <n v="0"/>
    <n v="0"/>
    <s v="D√©bito"/>
    <s v="En Caja Operacional"/>
    <n v="308126"/>
    <m/>
    <n v="52150"/>
    <n v="43823.529411764706"/>
  </r>
  <r>
    <s v="Antillanca"/>
    <n v="221012"/>
    <d v="2025-12-23T12:48:11"/>
    <s v="76905676-9"/>
    <s v="VASPIC SPA"/>
    <x v="9"/>
    <s v="Antillanca"/>
    <s v="Nataly"/>
    <n v="455294"/>
    <n v="0"/>
    <n v="0"/>
    <s v="Cr√©dito"/>
    <s v="En Caja Operacional"/>
    <n v="8704"/>
    <m/>
    <n v="455294"/>
    <n v="382600"/>
  </r>
  <r>
    <s v="Geronimo Mendez"/>
    <n v="221011"/>
    <d v="2025-12-23T12:45:10"/>
    <s v="77671193-4"/>
    <s v="TRANSPORTES HAWK SPA"/>
    <x v="2"/>
    <s v="Ventas Local"/>
    <s v="SoporteVenta"/>
    <n v="247213"/>
    <n v="0"/>
    <n v="0"/>
    <s v="D√©bito"/>
    <s v="En Caja Operacional"/>
    <n v="916077"/>
    <m/>
    <n v="124213"/>
    <n v="104380.67226890757"/>
  </r>
  <r>
    <s v="Geronimo Mendez"/>
    <n v="221011"/>
    <d v="2025-12-23T12:45:10"/>
    <s v="77671193-4"/>
    <s v="TRANSPORTES HAWK SPA"/>
    <x v="2"/>
    <s v="Ventas Local"/>
    <s v="SoporteVenta"/>
    <n v="247213"/>
    <n v="0"/>
    <n v="0"/>
    <s v="Cheque"/>
    <s v="En Caja Operacional"/>
    <n v="2598531"/>
    <d v="2025-12-23T00:00:00"/>
    <n v="123000"/>
    <n v="103361.34453781514"/>
  </r>
  <r>
    <s v="Geronimo Mendez"/>
    <n v="221010"/>
    <d v="2025-12-23T11:59:09"/>
    <s v="12423920-6"/>
    <s v="CRISTIAN TAPIA"/>
    <x v="8"/>
    <s v="Ventas Local"/>
    <s v="Maiko"/>
    <n v="697273"/>
    <n v="0"/>
    <n v="0"/>
    <s v="Cr√©dito"/>
    <s v="En Caja Operacional"/>
    <n v="943865"/>
    <m/>
    <n v="697273"/>
    <n v="585943.69747899158"/>
  </r>
  <r>
    <s v="Linares"/>
    <n v="221009"/>
    <d v="2025-12-23T11:38:41"/>
    <s v="66666666-6"/>
    <s v="Cliente LINARES Generico"/>
    <x v="1"/>
    <s v="Linares"/>
    <s v="Eduardo"/>
    <n v="36457"/>
    <n v="0"/>
    <n v="0"/>
    <s v="D√©bito"/>
    <s v="En Caja Operacional"/>
    <n v="802924"/>
    <m/>
    <n v="36457"/>
    <n v="30636.134453781513"/>
  </r>
  <r>
    <s v="Ovalle"/>
    <n v="221008"/>
    <d v="2025-12-23T11:26:43"/>
    <s v="77499953-1"/>
    <s v="SOCIEDAD COMERCIAL RAIVNE LIMITADA"/>
    <x v="0"/>
    <s v="Ovalle"/>
    <s v="Emilio"/>
    <n v="50488"/>
    <n v="0"/>
    <n v="0"/>
    <s v="Cr√©dito"/>
    <s v="En Caja Operacional"/>
    <n v="275163"/>
    <m/>
    <n v="50488"/>
    <n v="42426.89075630252"/>
  </r>
  <r>
    <s v="Ovalle"/>
    <n v="221007"/>
    <d v="2025-12-23T11:21:21"/>
    <s v="77499953-1"/>
    <s v="SOCIEDAD COMERCIAL RAIVNE LIMITADA"/>
    <x v="0"/>
    <s v="Ovalle"/>
    <s v="Emilio"/>
    <n v="45567"/>
    <n v="0"/>
    <n v="0"/>
    <s v="Efectivo"/>
    <s v="En Caja Operacional"/>
    <m/>
    <m/>
    <n v="45567"/>
    <n v="38291.596638655465"/>
  </r>
  <r>
    <s v="Antillanca"/>
    <n v="221006"/>
    <d v="2025-12-23T11:07:46"/>
    <s v="96694600-8"/>
    <s v="INVERSIONES QUILAPILUN S.A."/>
    <x v="13"/>
    <s v="Antillanca"/>
    <s v="Nataly"/>
    <n v="1142400"/>
    <n v="0"/>
    <n v="9996"/>
    <s v="Transferencia"/>
    <s v="En Caja Operacional"/>
    <n v="158"/>
    <m/>
    <n v="1142400"/>
    <n v="960000"/>
  </r>
  <r>
    <s v="Antillanca"/>
    <n v="221005"/>
    <d v="2025-12-23T11:00:41"/>
    <s v="96694600-8"/>
    <s v="INVERSIONES QUILAPILUN S.A."/>
    <x v="13"/>
    <s v="Antillanca"/>
    <s v="Nataly"/>
    <n v="2713795"/>
    <n v="0"/>
    <n v="142800"/>
    <s v="Transferencia"/>
    <s v="En Caja Operacional"/>
    <n v="159"/>
    <m/>
    <n v="2713795"/>
    <n v="2280500"/>
  </r>
  <r>
    <s v="Rojas Magallanes"/>
    <n v="221004"/>
    <d v="2025-12-23T10:57:02"/>
    <s v="66666666-6"/>
    <s v="Cliente ROJAS MAGALLANES Generico"/>
    <x v="5"/>
    <s v="Rojas Magallanes"/>
    <s v="Marisol"/>
    <n v="30739"/>
    <n v="0"/>
    <n v="0"/>
    <s v="D√©bito"/>
    <s v="En Caja Operacional"/>
    <n v="3939"/>
    <m/>
    <n v="30739"/>
    <n v="25831.092436974792"/>
  </r>
  <r>
    <s v="Linares"/>
    <n v="221003"/>
    <d v="2025-12-23T10:40:33"/>
    <s v="66666666-6"/>
    <s v="Cliente LINARES Generico"/>
    <x v="1"/>
    <s v="Linares"/>
    <s v="Eduardo"/>
    <n v="30636"/>
    <n v="0"/>
    <n v="0"/>
    <s v="D√©bito"/>
    <s v="En Caja Operacional"/>
    <n v="952647"/>
    <m/>
    <n v="30636"/>
    <n v="25744.537815126052"/>
  </r>
  <r>
    <s v="Antillanca"/>
    <n v="221002"/>
    <d v="2025-12-23T10:40:19"/>
    <s v="77271997-3"/>
    <s v="TRANSPORTES CSC SPA"/>
    <x v="9"/>
    <s v="Antillanca"/>
    <s v="Nataly"/>
    <n v="1442176"/>
    <n v="0"/>
    <n v="0"/>
    <s v="Cheque"/>
    <s v="En Caja Operacional"/>
    <n v="1279908"/>
    <d v="2026-01-11T00:00:00"/>
    <n v="480000"/>
    <n v="403361.34453781514"/>
  </r>
  <r>
    <s v="Antillanca"/>
    <n v="221002"/>
    <d v="2025-12-23T10:40:19"/>
    <s v="77271997-3"/>
    <s v="TRANSPORTES CSC SPA"/>
    <x v="9"/>
    <s v="Antillanca"/>
    <s v="Nataly"/>
    <n v="1442176"/>
    <n v="0"/>
    <n v="0"/>
    <s v="Cheque"/>
    <s v="En Caja Operacional"/>
    <n v="1279909"/>
    <d v="2026-02-11T00:00:00"/>
    <n v="480000"/>
    <n v="403361.34453781514"/>
  </r>
  <r>
    <s v="Antillanca"/>
    <n v="221002"/>
    <d v="2025-12-23T10:40:19"/>
    <s v="77271997-3"/>
    <s v="TRANSPORTES CSC SPA"/>
    <x v="9"/>
    <s v="Antillanca"/>
    <s v="Nataly"/>
    <n v="1442176"/>
    <n v="0"/>
    <n v="0"/>
    <s v="Cheque"/>
    <s v="En Caja Operacional"/>
    <n v="1279910"/>
    <d v="2026-03-11T00:00:00"/>
    <n v="482176"/>
    <n v="405189.91596638656"/>
  </r>
  <r>
    <s v="Geronimo Mendez"/>
    <n v="221001"/>
    <d v="2025-12-23T10:36:01"/>
    <s v="8623869-1"/>
    <s v="HUMBERTO ARAYA"/>
    <x v="8"/>
    <s v="Ventas Local"/>
    <s v="SoporteVenta"/>
    <n v="420955"/>
    <n v="0"/>
    <n v="0"/>
    <s v="Cheque"/>
    <s v="En Caja Operacional"/>
    <n v="3259"/>
    <d v="2025-12-23T00:00:00"/>
    <n v="220955"/>
    <n v="185676.4705882353"/>
  </r>
  <r>
    <s v="Geronimo Mendez"/>
    <n v="221001"/>
    <d v="2025-12-23T10:36:01"/>
    <s v="8623869-1"/>
    <s v="HUMBERTO ARAYA"/>
    <x v="8"/>
    <s v="Ventas Local"/>
    <s v="SoporteVenta"/>
    <n v="420955"/>
    <n v="0"/>
    <n v="0"/>
    <s v="Cheque"/>
    <s v="En Caja Operacional"/>
    <n v="3258"/>
    <d v="2026-01-23T00:00:00"/>
    <n v="200000"/>
    <n v="168067.22689075631"/>
  </r>
  <r>
    <s v="Antillanca"/>
    <n v="221000"/>
    <d v="2025-12-23T10:30:41"/>
    <s v="15478292-3"/>
    <s v="MANUEL ALEJANDRO MONTECINOS"/>
    <x v="10"/>
    <s v="Antillanca"/>
    <s v="Nataly"/>
    <n v="850992"/>
    <n v="0"/>
    <n v="0"/>
    <s v="Cheque"/>
    <s v="En Caja Operacional"/>
    <n v="6982867"/>
    <d v="2026-01-18T00:00:00"/>
    <n v="283664"/>
    <n v="238373.10924369749"/>
  </r>
  <r>
    <s v="Antillanca"/>
    <n v="221000"/>
    <d v="2025-12-23T10:30:41"/>
    <s v="15478292-3"/>
    <s v="MANUEL ALEJANDRO MONTECINOS"/>
    <x v="10"/>
    <s v="Antillanca"/>
    <s v="Nataly"/>
    <n v="850992"/>
    <n v="0"/>
    <n v="0"/>
    <s v="Cheque"/>
    <s v="En Caja Operacional"/>
    <n v="6982869"/>
    <d v="2026-03-18T00:00:00"/>
    <n v="283664"/>
    <n v="238373.10924369749"/>
  </r>
  <r>
    <s v="Antillanca"/>
    <n v="221000"/>
    <d v="2025-12-23T10:30:41"/>
    <s v="15478292-3"/>
    <s v="MANUEL ALEJANDRO MONTECINOS"/>
    <x v="10"/>
    <s v="Antillanca"/>
    <s v="Nataly"/>
    <n v="850992"/>
    <n v="0"/>
    <n v="0"/>
    <s v="Cheque"/>
    <s v="En Caja Operacional"/>
    <n v="6982868"/>
    <d v="2026-02-18T00:00:00"/>
    <n v="283664"/>
    <n v="238373.10924369749"/>
  </r>
  <r>
    <s v="Antillanca"/>
    <n v="220999"/>
    <d v="2025-12-23T10:28:19"/>
    <s v="77563796-K"/>
    <s v="ECOFOSA SPA"/>
    <x v="9"/>
    <s v="Antillanca"/>
    <s v="Nataly"/>
    <n v="1127120"/>
    <n v="0"/>
    <n v="0"/>
    <s v="Cheque"/>
    <s v="En Caja Operacional"/>
    <n v="1935306"/>
    <d v="2026-02-19T00:00:00"/>
    <n v="281000"/>
    <n v="236134.45378151262"/>
  </r>
  <r>
    <s v="Antillanca"/>
    <n v="220999"/>
    <d v="2025-12-23T10:28:19"/>
    <s v="77563796-K"/>
    <s v="ECOFOSA SPA"/>
    <x v="9"/>
    <s v="Antillanca"/>
    <s v="Nataly"/>
    <n v="1127120"/>
    <n v="0"/>
    <n v="0"/>
    <s v="Cheque"/>
    <s v="En Caja Operacional"/>
    <n v="1935307"/>
    <d v="2026-03-19T00:00:00"/>
    <n v="281000"/>
    <n v="236134.45378151262"/>
  </r>
  <r>
    <s v="Antillanca"/>
    <n v="220999"/>
    <d v="2025-12-23T10:28:19"/>
    <s v="77563796-K"/>
    <s v="ECOFOSA SPA"/>
    <x v="9"/>
    <s v="Antillanca"/>
    <s v="Nataly"/>
    <n v="1127120"/>
    <n v="0"/>
    <n v="0"/>
    <s v="Cheque"/>
    <s v="En Caja Operacional"/>
    <n v="1935308"/>
    <d v="2026-04-19T00:00:00"/>
    <n v="284120"/>
    <n v="238756.30252100842"/>
  </r>
  <r>
    <s v="Antillanca"/>
    <n v="220999"/>
    <d v="2025-12-23T10:28:19"/>
    <s v="77563796-K"/>
    <s v="ECOFOSA SPA"/>
    <x v="9"/>
    <s v="Antillanca"/>
    <s v="Nataly"/>
    <n v="1127120"/>
    <n v="0"/>
    <n v="0"/>
    <s v="Cheque"/>
    <s v="En Caja Operacional"/>
    <n v="1935305"/>
    <d v="2026-01-19T00:00:00"/>
    <n v="281000"/>
    <n v="236134.45378151262"/>
  </r>
  <r>
    <s v="Linares"/>
    <n v="220998"/>
    <d v="2025-12-23T10:28:00"/>
    <s v="66666666-6"/>
    <s v="Cliente LINARES Generico"/>
    <x v="1"/>
    <s v="Linares"/>
    <s v="Eduardo"/>
    <n v="45119"/>
    <n v="0"/>
    <n v="0"/>
    <s v="Cr√©dito"/>
    <s v="En Caja Operacional"/>
    <n v="22048"/>
    <m/>
    <n v="45119"/>
    <n v="37915.126050420171"/>
  </r>
  <r>
    <s v="Geronimo Mendez"/>
    <n v="220997"/>
    <d v="2025-12-23T10:16:25"/>
    <s v="11942482-8"/>
    <s v="NELSON IRRAZAVAL"/>
    <x v="11"/>
    <s v="Contraloria"/>
    <s v="Selene"/>
    <n v="948502"/>
    <n v="0"/>
    <n v="1"/>
    <s v="Transferencia"/>
    <s v="En Caja Operacional"/>
    <n v="267881"/>
    <m/>
    <n v="498327"/>
    <n v="418762.18487394962"/>
  </r>
  <r>
    <s v="Geronimo Mendez"/>
    <n v="220997"/>
    <d v="2025-12-23T10:16:25"/>
    <s v="11942482-8"/>
    <s v="NELSON IRRAZAVAL"/>
    <x v="11"/>
    <s v="Contraloria"/>
    <s v="Selene"/>
    <n v="948502"/>
    <n v="0"/>
    <n v="1"/>
    <s v="Transferencia"/>
    <s v="En Caja Operacional"/>
    <n v="267881"/>
    <m/>
    <n v="243420"/>
    <n v="204554.62184873951"/>
  </r>
  <r>
    <s v="Geronimo Mendez"/>
    <n v="220997"/>
    <d v="2025-12-23T10:16:25"/>
    <s v="11942482-8"/>
    <s v="NELSON IRRAZAVAL"/>
    <x v="11"/>
    <s v="Contraloria"/>
    <s v="Selene"/>
    <n v="948502"/>
    <n v="0"/>
    <n v="1"/>
    <s v="Transferencia"/>
    <s v="En Caja Operacional"/>
    <n v="267881"/>
    <m/>
    <n v="206755"/>
    <n v="173743.69747899161"/>
  </r>
  <r>
    <s v="Geronimo Mendez"/>
    <n v="220996"/>
    <d v="2025-12-23T10:14:01"/>
    <s v="8173461-5"/>
    <s v="PASCUAL GUILLERNO TAPIA"/>
    <x v="11"/>
    <s v="Contraloria"/>
    <s v="Selene"/>
    <n v="160000"/>
    <n v="0"/>
    <n v="0"/>
    <s v="Transferencia"/>
    <s v="En Caja Operacional"/>
    <n v="267882"/>
    <m/>
    <n v="160000"/>
    <n v="134453.78151260506"/>
  </r>
  <r>
    <s v="Geronimo Mendez"/>
    <n v="220995"/>
    <d v="2025-12-23T10:12:41"/>
    <s v="76793013-5"/>
    <s v="3 ERRES RONALD RIVERA CORTES E.I.R.L."/>
    <x v="11"/>
    <s v="Contraloria"/>
    <s v="Selene"/>
    <n v="184283"/>
    <n v="0"/>
    <n v="0"/>
    <s v="Transferencia"/>
    <s v="En Caja Operacional"/>
    <n v="267883"/>
    <m/>
    <n v="184283"/>
    <n v="154859.66386554623"/>
  </r>
  <r>
    <s v="Geronimo Mendez"/>
    <n v="220994"/>
    <d v="2025-12-23T10:11:56"/>
    <s v="12550039-0"/>
    <s v="DAVID JULIAN FLORES"/>
    <x v="2"/>
    <s v="Contraloria"/>
    <s v="Selene"/>
    <n v="392986"/>
    <n v="0"/>
    <n v="0"/>
    <s v="Cheque"/>
    <s v="En Caja Operacional"/>
    <n v="973280"/>
    <d v="2025-12-27T00:00:00"/>
    <n v="100000"/>
    <n v="84033.613445378156"/>
  </r>
  <r>
    <s v="Geronimo Mendez"/>
    <n v="220994"/>
    <d v="2025-12-23T10:11:56"/>
    <s v="12550039-0"/>
    <s v="DAVID JULIAN FLORES"/>
    <x v="2"/>
    <s v="Contraloria"/>
    <s v="Selene"/>
    <n v="392986"/>
    <n v="0"/>
    <n v="0"/>
    <s v="Cheque"/>
    <s v="En Caja Operacional"/>
    <n v="1878028"/>
    <d v="2026-02-27T00:00:00"/>
    <n v="100000"/>
    <n v="84033.613445378156"/>
  </r>
  <r>
    <s v="Geronimo Mendez"/>
    <n v="220994"/>
    <d v="2025-12-23T10:11:56"/>
    <s v="12550039-0"/>
    <s v="DAVID JULIAN FLORES"/>
    <x v="2"/>
    <s v="Contraloria"/>
    <s v="Selene"/>
    <n v="392986"/>
    <n v="0"/>
    <n v="0"/>
    <s v="Cheque"/>
    <s v="En Caja Operacional"/>
    <n v="1878029"/>
    <d v="2026-03-27T00:00:00"/>
    <n v="192986"/>
    <n v="162173.10924369749"/>
  </r>
  <r>
    <s v="Antillanca"/>
    <n v="220993"/>
    <d v="2025-12-23T09:51:48"/>
    <s v="8217632-2"/>
    <s v="BENJAMIN ENRIQUE MEZA"/>
    <x v="3"/>
    <s v="Antillanca"/>
    <s v="Nataly"/>
    <n v="150742"/>
    <n v="0"/>
    <n v="0"/>
    <s v="Dep√≥sito"/>
    <s v="En Caja Operacional"/>
    <n v="3552"/>
    <m/>
    <n v="150742"/>
    <n v="126673.94957983194"/>
  </r>
  <r>
    <s v="Geronimo Mendez"/>
    <n v="220992"/>
    <d v="2025-12-23T09:41:26"/>
    <s v="77730656-1"/>
    <s v="NILO A. GONZALEZ ZEPEDA CASA DE REPUESTOS EIRL"/>
    <x v="4"/>
    <s v="Ventas Local"/>
    <s v="SoporteVenta"/>
    <n v="81054"/>
    <n v="0"/>
    <n v="0"/>
    <s v="Transferencia"/>
    <s v="En Caja Operacional"/>
    <n v="296"/>
    <m/>
    <n v="81054"/>
    <n v="68112.605042016803"/>
  </r>
  <r>
    <s v="Linares"/>
    <n v="220991"/>
    <d v="2025-12-23T09:19:29"/>
    <s v="66666666-6"/>
    <s v="Cliente LINARES Generico"/>
    <x v="1"/>
    <s v="Linares"/>
    <s v="Eduardo"/>
    <n v="39110"/>
    <n v="0"/>
    <n v="0"/>
    <s v="Efectivo"/>
    <s v="En Caja Operacional"/>
    <m/>
    <m/>
    <n v="39110"/>
    <n v="32865.546218487398"/>
  </r>
  <r>
    <s v="Linares"/>
    <n v="220990"/>
    <d v="2025-12-23T09:15:31"/>
    <s v="66666666-6"/>
    <s v="Cliente LINARES Generico"/>
    <x v="1"/>
    <s v="Linares"/>
    <s v="Eduardo"/>
    <n v="86408"/>
    <n v="0"/>
    <n v="0"/>
    <s v="D√©bito"/>
    <s v="En Caja Operacional"/>
    <n v="456727"/>
    <m/>
    <n v="86408"/>
    <n v="72611.76470588235"/>
  </r>
  <r>
    <s v="Antillanca"/>
    <n v="220989"/>
    <d v="2025-12-23T08:22:49"/>
    <s v="77254104-K"/>
    <s v="TRANSPORTES SERGIO NOVOA SPA"/>
    <x v="16"/>
    <s v="Antillanca"/>
    <s v="Nataly"/>
    <n v="371299"/>
    <n v="0"/>
    <n v="0"/>
    <s v="D√©bito"/>
    <s v="En Caja Operacional"/>
    <n v="4276"/>
    <m/>
    <n v="371299"/>
    <n v="312015.96638655465"/>
  </r>
  <r>
    <s v="Geronimo Mendez"/>
    <n v="220988"/>
    <d v="2025-12-22T17:56:29"/>
    <s v="16451093-K"/>
    <s v="CRISTIAN FERNANDO AGUILERA"/>
    <x v="2"/>
    <s v="Contraloria"/>
    <s v="Selene"/>
    <n v="1399020"/>
    <n v="0"/>
    <n v="1"/>
    <s v="Cheque"/>
    <s v="En Caja Operacional"/>
    <n v="3380321"/>
    <d v="2026-01-10T00:00:00"/>
    <n v="349755"/>
    <n v="293911.76470588235"/>
  </r>
  <r>
    <s v="Geronimo Mendez"/>
    <n v="220988"/>
    <d v="2025-12-22T17:56:29"/>
    <s v="16451093-K"/>
    <s v="CRISTIAN FERNANDO AGUILERA"/>
    <x v="2"/>
    <s v="Contraloria"/>
    <s v="Selene"/>
    <n v="1399020"/>
    <n v="0"/>
    <n v="1"/>
    <s v="Cheque"/>
    <s v="En Caja Operacional"/>
    <n v="3380322"/>
    <d v="2026-02-10T00:00:00"/>
    <n v="349755"/>
    <n v="293911.76470588235"/>
  </r>
  <r>
    <s v="Geronimo Mendez"/>
    <n v="220988"/>
    <d v="2025-12-22T17:56:29"/>
    <s v="16451093-K"/>
    <s v="CRISTIAN FERNANDO AGUILERA"/>
    <x v="2"/>
    <s v="Contraloria"/>
    <s v="Selene"/>
    <n v="1399020"/>
    <n v="0"/>
    <n v="1"/>
    <s v="Cheque"/>
    <s v="En Caja Operacional"/>
    <n v="3380323"/>
    <d v="2026-03-10T00:00:00"/>
    <n v="349755"/>
    <n v="293911.76470588235"/>
  </r>
  <r>
    <s v="Geronimo Mendez"/>
    <n v="220988"/>
    <d v="2025-12-22T17:56:29"/>
    <s v="16451093-K"/>
    <s v="CRISTIAN FERNANDO AGUILERA"/>
    <x v="2"/>
    <s v="Contraloria"/>
    <s v="Selene"/>
    <n v="1399020"/>
    <n v="0"/>
    <n v="1"/>
    <s v="Cheque"/>
    <s v="En Caja Operacional"/>
    <n v="3380324"/>
    <d v="2026-04-10T00:00:00"/>
    <n v="349755"/>
    <n v="293911.76470588235"/>
  </r>
  <r>
    <s v="Geronimo Mendez"/>
    <n v="220987"/>
    <d v="2025-12-22T17:53:24"/>
    <s v="8808596-5"/>
    <s v="JOSE OSCIEL GONZALEZ"/>
    <x v="2"/>
    <s v="Contraloria"/>
    <s v="Selene"/>
    <n v="1368005"/>
    <n v="0"/>
    <n v="0"/>
    <s v="Transferencia"/>
    <s v="En Caja Operacional"/>
    <n v="275382"/>
    <m/>
    <n v="968005"/>
    <n v="813449.57983193279"/>
  </r>
  <r>
    <s v="Geronimo Mendez"/>
    <n v="220987"/>
    <d v="2025-12-22T17:53:24"/>
    <s v="8808596-5"/>
    <s v="JOSE OSCIEL GONZALEZ"/>
    <x v="2"/>
    <s v="Contraloria"/>
    <s v="Selene"/>
    <n v="1368005"/>
    <n v="0"/>
    <n v="0"/>
    <s v="Transferencia"/>
    <s v="En Caja Operacional"/>
    <n v="275382"/>
    <m/>
    <n v="400000"/>
    <n v="336134.45378151262"/>
  </r>
  <r>
    <s v="Geronimo Mendez"/>
    <n v="220986"/>
    <d v="2025-12-22T17:48:25"/>
    <s v="13327963-6"/>
    <s v="FERNANDO FERNANDEZ"/>
    <x v="2"/>
    <s v="Contraloria"/>
    <s v="Selene"/>
    <n v="500000"/>
    <n v="0"/>
    <n v="0"/>
    <s v="Transferencia"/>
    <s v="En Caja Operacional"/>
    <n v="275388"/>
    <m/>
    <n v="500000"/>
    <n v="420168.06722689077"/>
  </r>
  <r>
    <s v="Linares"/>
    <n v="220985"/>
    <d v="2025-12-22T17:48:01"/>
    <s v="9262987-2"/>
    <s v="EDUARDO ENRIQUE PONCE"/>
    <x v="1"/>
    <s v="Linares"/>
    <s v="Eduardo"/>
    <n v="59867"/>
    <n v="0"/>
    <n v="0"/>
    <s v="Efectivo"/>
    <s v="En Caja Operacional"/>
    <m/>
    <m/>
    <n v="16663"/>
    <n v="14002.521008403362"/>
  </r>
  <r>
    <s v="Linares"/>
    <n v="220985"/>
    <d v="2025-12-22T17:48:01"/>
    <s v="9262987-2"/>
    <s v="EDUARDO ENRIQUE PONCE"/>
    <x v="1"/>
    <s v="Linares"/>
    <s v="Eduardo"/>
    <n v="59867"/>
    <n v="0"/>
    <n v="0"/>
    <s v="Cr√©dito"/>
    <s v="En Caja Operacional"/>
    <n v="357268"/>
    <m/>
    <n v="43204"/>
    <n v="36305.882352941175"/>
  </r>
  <r>
    <s v="Geronimo Mendez"/>
    <n v="220984"/>
    <d v="2025-12-22T17:46:13"/>
    <s v="77937337-1"/>
    <s v="VIOLCHY SPA"/>
    <x v="2"/>
    <s v="Contraloria"/>
    <s v="Selene"/>
    <n v="1800487"/>
    <n v="0"/>
    <n v="0"/>
    <s v="Transferencia"/>
    <s v="En Caja Operacional"/>
    <n v="275387"/>
    <m/>
    <n v="1728418"/>
    <n v="1452452.1008403362"/>
  </r>
  <r>
    <s v="Geronimo Mendez"/>
    <n v="220984"/>
    <d v="2025-12-22T17:46:13"/>
    <s v="77937337-1"/>
    <s v="VIOLCHY SPA"/>
    <x v="2"/>
    <s v="Contraloria"/>
    <s v="Selene"/>
    <n v="1800487"/>
    <n v="0"/>
    <n v="0"/>
    <s v="Transferencia"/>
    <s v="En Caja Operacional"/>
    <n v="275387"/>
    <m/>
    <n v="72069"/>
    <n v="60562.184873949584"/>
  </r>
  <r>
    <s v="Geronimo Mendez"/>
    <n v="220983"/>
    <d v="2025-12-22T17:43:59"/>
    <s v="12025053-1"/>
    <s v="CARLOS BOLADOS"/>
    <x v="2"/>
    <s v="Contraloria"/>
    <s v="Selene"/>
    <n v="487343"/>
    <n v="0"/>
    <n v="0"/>
    <s v="Transferencia"/>
    <s v="En Caja Operacional"/>
    <n v="275385"/>
    <m/>
    <n v="296705"/>
    <n v="249331.93277310926"/>
  </r>
  <r>
    <s v="Geronimo Mendez"/>
    <n v="220983"/>
    <d v="2025-12-22T17:43:59"/>
    <s v="12025053-1"/>
    <s v="CARLOS BOLADOS"/>
    <x v="2"/>
    <s v="Contraloria"/>
    <s v="Selene"/>
    <n v="487343"/>
    <n v="0"/>
    <n v="0"/>
    <s v="Transferencia"/>
    <s v="En Caja Operacional"/>
    <n v="275385"/>
    <m/>
    <n v="190638"/>
    <n v="160200"/>
  </r>
  <r>
    <s v="Geronimo Mendez"/>
    <n v="220982"/>
    <d v="2025-12-22T17:42:39"/>
    <s v="77979321-4"/>
    <s v="COMERCIAL CENTRAL REPUESTOS SPA"/>
    <x v="2"/>
    <s v="Contraloria"/>
    <s v="Selene"/>
    <n v="200000"/>
    <n v="0"/>
    <n v="0"/>
    <s v="Transferencia"/>
    <s v="En Caja Operacional"/>
    <n v="275384"/>
    <m/>
    <n v="200000"/>
    <n v="168067.22689075631"/>
  </r>
  <r>
    <s v="Geronimo Mendez"/>
    <n v="220981"/>
    <d v="2025-12-22T17:40:08"/>
    <s v="76274900-9"/>
    <s v="SOC. TRANSPORTES TRANS JAVIER LTDA"/>
    <x v="2"/>
    <s v="Contraloria"/>
    <s v="Selene"/>
    <n v="1279271"/>
    <n v="0"/>
    <n v="0"/>
    <s v="Transferencia"/>
    <s v="En Caja Operacional"/>
    <n v="275383"/>
    <m/>
    <n v="1279271"/>
    <n v="1075017.6470588236"/>
  </r>
  <r>
    <s v="Geronimo Mendez"/>
    <n v="220980"/>
    <d v="2025-12-22T17:34:59"/>
    <s v="78048910-3"/>
    <s v="TRANSPORTES SAE LTDA."/>
    <x v="2"/>
    <s v="Contraloria"/>
    <s v="Selene"/>
    <n v="4739175"/>
    <n v="0"/>
    <n v="0"/>
    <s v="Transferencia"/>
    <s v="En Caja Operacional"/>
    <n v="78048910"/>
    <m/>
    <n v="3791340"/>
    <n v="3186000"/>
  </r>
  <r>
    <s v="Geronimo Mendez"/>
    <n v="220980"/>
    <d v="2025-12-22T17:34:59"/>
    <s v="78048910-3"/>
    <s v="TRANSPORTES SAE LTDA."/>
    <x v="2"/>
    <s v="Contraloria"/>
    <s v="Selene"/>
    <n v="4739175"/>
    <n v="0"/>
    <n v="0"/>
    <s v="Transferencia"/>
    <s v="En Caja Operacional"/>
    <n v="275381"/>
    <m/>
    <n v="947835"/>
    <n v="796500"/>
  </r>
  <r>
    <s v="Geronimo Mendez"/>
    <n v="220979"/>
    <d v="2025-12-22T17:31:20"/>
    <s v="13975259-7"/>
    <s v="VERONICA RODRIGUEZ"/>
    <x v="4"/>
    <s v="Contraloria"/>
    <s v="Selene"/>
    <n v="272272"/>
    <n v="0"/>
    <n v="0"/>
    <s v="Transferencia"/>
    <s v="En Caja Operacional"/>
    <n v="275571"/>
    <m/>
    <n v="272272"/>
    <n v="228800"/>
  </r>
  <r>
    <s v="Geronimo Mendez"/>
    <n v="220978"/>
    <d v="2025-12-22T17:29:11"/>
    <s v="76238597-K"/>
    <s v="COMERCIAL REQUENA Y OTROS LTDA"/>
    <x v="4"/>
    <s v="Contraloria"/>
    <s v="Selene"/>
    <n v="94419"/>
    <n v="0"/>
    <n v="0"/>
    <s v="Cheque"/>
    <s v="En Caja Operacional"/>
    <n v="4639530"/>
    <d v="2026-01-22T00:00:00"/>
    <n v="25647"/>
    <n v="21552.100840336134"/>
  </r>
  <r>
    <s v="Geronimo Mendez"/>
    <n v="220978"/>
    <d v="2025-12-22T17:29:11"/>
    <s v="76238597-K"/>
    <s v="COMERCIAL REQUENA Y OTROS LTDA"/>
    <x v="4"/>
    <s v="Contraloria"/>
    <s v="Selene"/>
    <n v="94419"/>
    <n v="0"/>
    <n v="0"/>
    <s v="Cheque"/>
    <s v="En Caja Operacional"/>
    <n v="4639544"/>
    <d v="2026-01-25T00:00:00"/>
    <n v="68772"/>
    <n v="57791.596638655465"/>
  </r>
  <r>
    <s v="Geronimo Mendez"/>
    <n v="220977"/>
    <d v="2025-12-22T17:27:23"/>
    <s v="77323124-9"/>
    <s v="H&amp;S SPA"/>
    <x v="11"/>
    <s v="Cobranzas"/>
    <s v="Maria"/>
    <n v="617695"/>
    <n v="0"/>
    <n v="0"/>
    <s v="Transferencia"/>
    <s v="En Caja Operacional"/>
    <n v="272593"/>
    <m/>
    <n v="617695"/>
    <n v="519071.42857142858"/>
  </r>
  <r>
    <s v="Linares"/>
    <n v="220976"/>
    <d v="2025-12-22T17:26:29"/>
    <s v="66666666-6"/>
    <s v="Cliente LINARES Generico"/>
    <x v="1"/>
    <s v="Linares"/>
    <s v="Eduardo"/>
    <n v="68034"/>
    <n v="0"/>
    <n v="0"/>
    <s v="D√©bito"/>
    <s v="En Caja Operacional"/>
    <n v="541614"/>
    <m/>
    <n v="68034"/>
    <n v="57171.428571428572"/>
  </r>
  <r>
    <s v="Linares"/>
    <n v="220975"/>
    <d v="2025-12-22T17:16:52"/>
    <s v="66666666-6"/>
    <s v="Cliente LINARES Generico"/>
    <x v="1"/>
    <s v="Linares"/>
    <s v="Eduardo"/>
    <n v="46474"/>
    <n v="0"/>
    <n v="0"/>
    <s v="Efectivo"/>
    <s v="En Caja Operacional"/>
    <m/>
    <m/>
    <n v="46474"/>
    <n v="39053.781512605041"/>
  </r>
  <r>
    <s v="Geronimo Mendez"/>
    <n v="220974"/>
    <d v="2025-12-22T17:14:15"/>
    <s v="78560030-4"/>
    <s v="ZEPEDA Y VECCHIOLA Y COMPANIA LTDA"/>
    <x v="4"/>
    <s v="Contraloria"/>
    <s v="Selene"/>
    <n v="130876"/>
    <n v="0"/>
    <n v="0"/>
    <s v="Transferencia"/>
    <s v="En Caja Operacional"/>
    <n v="275568"/>
    <m/>
    <n v="130876"/>
    <n v="109979.83193277312"/>
  </r>
  <r>
    <s v="Linares"/>
    <n v="220973"/>
    <d v="2025-12-22T17:12:49"/>
    <s v="9262987-2"/>
    <s v="EDUARDO ENRIQUE PONCE"/>
    <x v="1"/>
    <s v="Linares"/>
    <s v="Eduardo"/>
    <n v="41496"/>
    <n v="0"/>
    <n v="0"/>
    <s v="Efectivo"/>
    <s v="En Caja Operacional"/>
    <m/>
    <m/>
    <n v="35496"/>
    <n v="29828.571428571431"/>
  </r>
  <r>
    <s v="Linares"/>
    <n v="220973"/>
    <d v="2025-12-22T17:12:49"/>
    <s v="9262987-2"/>
    <s v="EDUARDO ENRIQUE PONCE"/>
    <x v="1"/>
    <s v="Linares"/>
    <s v="Eduardo"/>
    <n v="41496"/>
    <n v="0"/>
    <n v="0"/>
    <s v="D√©bito"/>
    <s v="En Caja Operacional"/>
    <n v="609210"/>
    <m/>
    <n v="6000"/>
    <n v="5042.0168067226896"/>
  </r>
  <r>
    <s v="Geronimo Mendez"/>
    <n v="220972"/>
    <d v="2025-12-22T17:10:57"/>
    <s v="16775680-8"/>
    <s v="CAROLINA FLORES"/>
    <x v="4"/>
    <s v="Contraloria"/>
    <s v="Selene"/>
    <n v="1461552"/>
    <n v="0"/>
    <n v="0"/>
    <s v="Cheque"/>
    <s v="En Caja Operacional"/>
    <n v="7107218"/>
    <d v="2025-12-31T00:00:00"/>
    <n v="487184"/>
    <n v="409398.31932773109"/>
  </r>
  <r>
    <s v="Geronimo Mendez"/>
    <n v="220972"/>
    <d v="2025-12-22T17:10:57"/>
    <s v="16775680-8"/>
    <s v="CAROLINA FLORES"/>
    <x v="4"/>
    <s v="Contraloria"/>
    <s v="Selene"/>
    <n v="1461552"/>
    <n v="0"/>
    <n v="0"/>
    <s v="Cheque"/>
    <s v="En Caja Operacional"/>
    <n v="7107219"/>
    <d v="2026-01-10T00:00:00"/>
    <n v="487184"/>
    <n v="409398.31932773109"/>
  </r>
  <r>
    <s v="Geronimo Mendez"/>
    <n v="220972"/>
    <d v="2025-12-22T17:10:57"/>
    <s v="16775680-8"/>
    <s v="CAROLINA FLORES"/>
    <x v="4"/>
    <s v="Contraloria"/>
    <s v="Selene"/>
    <n v="1461552"/>
    <n v="0"/>
    <n v="0"/>
    <s v="Cheque"/>
    <s v="En Caja Operacional"/>
    <n v="5186297"/>
    <d v="2026-01-17T00:00:00"/>
    <n v="487184"/>
    <n v="409398.31932773109"/>
  </r>
  <r>
    <s v="Linares"/>
    <n v="220971"/>
    <d v="2025-12-22T17:04:27"/>
    <s v="66666666-6"/>
    <s v="Cliente LINARES Generico"/>
    <x v="1"/>
    <s v="Linares"/>
    <s v="Eduardo"/>
    <n v="59093"/>
    <n v="0"/>
    <n v="0"/>
    <s v="D√©bito"/>
    <s v="En Caja Operacional"/>
    <n v="354526"/>
    <m/>
    <n v="59093"/>
    <n v="49657.983193277316"/>
  </r>
  <r>
    <s v="Linares"/>
    <n v="220970"/>
    <d v="2025-12-22T16:52:03"/>
    <s v="16325191-4"/>
    <s v="ROBERT ALEJANDRO AROS"/>
    <x v="1"/>
    <s v="Linares"/>
    <s v="Eduardo"/>
    <n v="37688"/>
    <n v="0"/>
    <n v="0"/>
    <s v="Efectivo"/>
    <s v="En Caja Operacional"/>
    <m/>
    <m/>
    <n v="37688"/>
    <n v="31670.588235294119"/>
  </r>
  <r>
    <s v="Geronimo Mendez"/>
    <n v="220969"/>
    <d v="2025-12-22T16:51:18"/>
    <s v="76707378-K"/>
    <s v="TALLER MEC. Y VTA. DE REP.DAVISSERVICAR"/>
    <x v="4"/>
    <s v="Ventas Local"/>
    <s v="SoporteVenta"/>
    <n v="333030"/>
    <n v="0"/>
    <n v="0"/>
    <s v="D√©bito"/>
    <s v="En Caja Operacional"/>
    <n v="7685"/>
    <m/>
    <n v="333030"/>
    <n v="279857.1428571429"/>
  </r>
  <r>
    <s v="Linares"/>
    <n v="220968"/>
    <d v="2025-12-22T16:42:58"/>
    <s v="66666666-6"/>
    <s v="Cliente LINARES Generico"/>
    <x v="1"/>
    <s v="Linares"/>
    <s v="Eduardo"/>
    <n v="38753"/>
    <n v="0"/>
    <n v="0"/>
    <s v="Efectivo"/>
    <s v="En Caja Operacional"/>
    <m/>
    <m/>
    <n v="38753"/>
    <n v="32565.546218487398"/>
  </r>
  <r>
    <s v="Geronimo Mendez"/>
    <n v="220967"/>
    <d v="2025-12-22T16:38:22"/>
    <s v="76234767-9"/>
    <s v="DAVID RODOLFO GOMEZ SCHWARTZ TRANSPORTES"/>
    <x v="8"/>
    <s v="Ventas Local"/>
    <s v="Maiko"/>
    <n v="186256"/>
    <n v="0"/>
    <n v="0"/>
    <s v="Transferencia"/>
    <s v="En Caja Operacional"/>
    <n v="275788"/>
    <m/>
    <n v="186256"/>
    <n v="156517.64705882352"/>
  </r>
  <r>
    <s v="Linares"/>
    <n v="220966"/>
    <d v="2025-12-22T16:18:13"/>
    <s v="66666666-6"/>
    <s v="Cliente LINARES Generico"/>
    <x v="1"/>
    <s v="Linares"/>
    <s v="Eduardo"/>
    <n v="38375"/>
    <n v="0"/>
    <n v="0"/>
    <s v="D√©bito"/>
    <s v="En Caja Operacional"/>
    <n v="711955"/>
    <m/>
    <n v="38375"/>
    <n v="32247.899159663866"/>
  </r>
  <r>
    <s v="Geronimo Mendez"/>
    <n v="220965"/>
    <d v="2025-12-22T16:16:03"/>
    <s v="77655962-8"/>
    <s v="MFD COQUIMBO SPA"/>
    <x v="8"/>
    <s v="Ventas Local"/>
    <s v="Maiko"/>
    <n v="12495"/>
    <n v="0"/>
    <n v="0"/>
    <s v="Cr√©dito"/>
    <s v="En Caja Operacional"/>
    <n v="218634"/>
    <m/>
    <n v="12495"/>
    <n v="10500"/>
  </r>
  <r>
    <s v="Antillanca"/>
    <n v="220964"/>
    <d v="2025-12-22T16:10:57"/>
    <s v="77684986-3"/>
    <s v="TRANSPORTES DAVID ALFREDO HENRIQUEZ CELIS E I R L"/>
    <x v="9"/>
    <s v="Antillanca"/>
    <s v="Nataly"/>
    <n v="664996"/>
    <n v="0"/>
    <n v="0"/>
    <s v="Transferencia"/>
    <s v="En Caja Operacional"/>
    <n v="279"/>
    <m/>
    <n v="664996"/>
    <n v="558820.16806722688"/>
  </r>
  <r>
    <s v="Geronimo Mendez"/>
    <n v="220963"/>
    <d v="2025-12-22T16:05:11"/>
    <s v="8645836-5"/>
    <s v="ALEXANDRO SLOMP"/>
    <x v="8"/>
    <s v="Ventas Local"/>
    <s v="Maiko"/>
    <n v="113583"/>
    <n v="0"/>
    <n v="0"/>
    <s v="Efectivo"/>
    <s v="En Caja Operacional"/>
    <m/>
    <m/>
    <n v="113583"/>
    <n v="95447.899159663866"/>
  </r>
  <r>
    <s v="Linares"/>
    <n v="220962"/>
    <d v="2025-12-22T15:50:21"/>
    <s v="66666666-6"/>
    <s v="Cliente LINARES Generico"/>
    <x v="1"/>
    <s v="Linares"/>
    <s v="Eduardo"/>
    <n v="45707"/>
    <n v="0"/>
    <n v="0"/>
    <s v="Efectivo"/>
    <s v="En Caja Operacional"/>
    <m/>
    <m/>
    <n v="45707"/>
    <n v="38409.243697478996"/>
  </r>
  <r>
    <s v="Ovalle"/>
    <n v="220961"/>
    <d v="2025-12-22T15:47:04"/>
    <s v="76328757-2"/>
    <s v="PROD.DE EVENTOS ALEJANDRO JAVIER PARDO T"/>
    <x v="6"/>
    <s v="Ovalle"/>
    <s v="Emilio"/>
    <n v="37731"/>
    <n v="0"/>
    <n v="0"/>
    <s v="Efectivo"/>
    <s v="En Caja Operacional"/>
    <m/>
    <m/>
    <n v="37731"/>
    <n v="31706.722689075632"/>
  </r>
  <r>
    <s v="Ovalle"/>
    <n v="220960"/>
    <d v="2025-12-22T15:43:47"/>
    <s v="66666666-6"/>
    <s v="Cliente OVALLE Generico"/>
    <x v="6"/>
    <s v="Ovalle"/>
    <s v="Emilio"/>
    <n v="20649"/>
    <n v="0"/>
    <n v="0"/>
    <s v="D√©bito"/>
    <s v="En Caja Operacional"/>
    <n v="322781"/>
    <m/>
    <n v="20649"/>
    <n v="17352.100840336134"/>
  </r>
  <r>
    <s v="Linares"/>
    <n v="220959"/>
    <d v="2025-12-22T15:43:22"/>
    <s v="66666666-6"/>
    <s v="Cliente LINARES Generico"/>
    <x v="1"/>
    <s v="Linares"/>
    <s v="Eduardo"/>
    <n v="38041"/>
    <n v="0"/>
    <n v="0"/>
    <s v="D√©bito"/>
    <s v="En Caja Operacional"/>
    <n v="233274"/>
    <m/>
    <n v="38041"/>
    <n v="31967.226890756305"/>
  </r>
  <r>
    <s v="Geronimo Mendez"/>
    <n v="220958"/>
    <d v="2025-12-22T15:33:03"/>
    <s v="77331017-3"/>
    <s v="SERVICIOS INTEGRALES DE MECANICA AUTOMOTRIZ SPA"/>
    <x v="14"/>
    <s v="Ventas Local"/>
    <s v="SoporteVenta"/>
    <n v="195745"/>
    <n v="0"/>
    <n v="0"/>
    <s v="Efectivo"/>
    <s v="En Caja Operacional"/>
    <m/>
    <m/>
    <n v="110322"/>
    <n v="92707.563025210082"/>
  </r>
  <r>
    <s v="Geronimo Mendez"/>
    <n v="220958"/>
    <d v="2025-12-22T15:33:03"/>
    <s v="77331017-3"/>
    <s v="SERVICIOS INTEGRALES DE MECANICA AUTOMOTRIZ SPA"/>
    <x v="14"/>
    <s v="Ventas Local"/>
    <s v="SoporteVenta"/>
    <n v="195745"/>
    <n v="0"/>
    <n v="0"/>
    <s v="D√©bito"/>
    <s v="En Caja Operacional"/>
    <n v="18005"/>
    <m/>
    <n v="75423"/>
    <n v="63380.672268907569"/>
  </r>
  <r>
    <s v="Geronimo Mendez"/>
    <n v="220958"/>
    <d v="2025-12-22T15:33:03"/>
    <s v="77331017-3"/>
    <s v="SERVICIOS INTEGRALES DE MECANICA AUTOMOTRIZ SPA"/>
    <x v="14"/>
    <s v="Ventas Local"/>
    <s v="SoporteVenta"/>
    <n v="195745"/>
    <n v="0"/>
    <n v="0"/>
    <s v="D√©bito"/>
    <s v="En Caja Operacional"/>
    <n v="21575"/>
    <m/>
    <n v="10000"/>
    <n v="8403.361344537816"/>
  </r>
  <r>
    <s v="Linares"/>
    <n v="220957"/>
    <d v="2025-12-22T15:30:04"/>
    <s v="66666666-6"/>
    <s v="Cliente LINARES Generico"/>
    <x v="1"/>
    <s v="Linares"/>
    <s v="Eduardo"/>
    <n v="31745"/>
    <n v="0"/>
    <n v="0"/>
    <s v="Efectivo"/>
    <s v="En Caja Operacional"/>
    <m/>
    <m/>
    <n v="31745"/>
    <n v="26676.470588235294"/>
  </r>
  <r>
    <s v="Geronimo Mendez"/>
    <n v="220956"/>
    <d v="2025-12-22T15:22:41"/>
    <s v="76934843-3"/>
    <s v="FENIX AUTOMOTRIZ SPA"/>
    <x v="8"/>
    <s v="Ventas Local"/>
    <s v="SoporteVenta"/>
    <n v="193494"/>
    <n v="0"/>
    <n v="0"/>
    <s v="D√©bito"/>
    <s v="En Caja Operacional"/>
    <n v="1735"/>
    <m/>
    <n v="193494"/>
    <n v="162600"/>
  </r>
  <r>
    <s v="Antillanca"/>
    <n v="220955"/>
    <d v="2025-12-22T15:16:04"/>
    <s v="88995200-8"/>
    <s v="SOC DE TRANSPORTES OESTE LIMITADA"/>
    <x v="13"/>
    <s v="Antillanca"/>
    <s v="Nataly"/>
    <n v="724048"/>
    <n v="0"/>
    <n v="0"/>
    <s v="Transferencia"/>
    <s v="En Caja Operacional"/>
    <n v="152"/>
    <m/>
    <n v="724048"/>
    <n v="608443.69747899158"/>
  </r>
  <r>
    <s v="Geronimo Mendez"/>
    <n v="220954"/>
    <d v="2025-12-22T15:10:34"/>
    <s v="10044969-2"/>
    <s v="GONZALO VELIZ"/>
    <x v="8"/>
    <s v="Ventas Local"/>
    <s v="Maiko"/>
    <n v="202162"/>
    <n v="0"/>
    <n v="0"/>
    <s v="D√©bito"/>
    <s v="En Caja Operacional"/>
    <n v="91851"/>
    <m/>
    <n v="202162"/>
    <n v="169884.03361344538"/>
  </r>
  <r>
    <s v="Antillanca"/>
    <n v="220953"/>
    <d v="2025-12-22T14:44:07"/>
    <s v="10398941-8"/>
    <s v="CLAUDIA ANDREA CABEZAS"/>
    <x v="9"/>
    <s v="Antillanca"/>
    <s v="Nataly"/>
    <n v="250000"/>
    <n v="0"/>
    <n v="0"/>
    <s v="Transferencia"/>
    <s v="En Caja Operacional"/>
    <n v="266"/>
    <m/>
    <n v="250000"/>
    <n v="210084.03361344538"/>
  </r>
  <r>
    <s v="Ovalle"/>
    <n v="220952"/>
    <d v="2025-12-22T14:37:59"/>
    <s v="11939093-1"/>
    <s v="JOSE LUIS COFRE"/>
    <x v="6"/>
    <s v="Ovalle"/>
    <s v="Emilio"/>
    <n v="96645"/>
    <n v="0"/>
    <n v="0"/>
    <s v="Efectivo"/>
    <s v="En Caja Operacional"/>
    <m/>
    <m/>
    <n v="96645"/>
    <n v="81214.285714285725"/>
  </r>
  <r>
    <s v="Antillanca"/>
    <n v="220951"/>
    <d v="2025-12-22T14:16:04"/>
    <s v="76919157-7"/>
    <s v="PULIDO ALUMINIO ESPEJO CHILE SPA"/>
    <x v="16"/>
    <s v="Antillanca"/>
    <s v="Nataly"/>
    <n v="1311442"/>
    <n v="0"/>
    <n v="0"/>
    <s v="Cr√©dito"/>
    <s v="En Caja Operacional"/>
    <n v="9040"/>
    <m/>
    <n v="1311442"/>
    <n v="1102052.1008403362"/>
  </r>
  <r>
    <s v="Rojas Magallanes"/>
    <n v="220950"/>
    <d v="2025-12-22T12:57:28"/>
    <s v="66666666-6"/>
    <s v="Cliente ROJAS MAGALLANES Generico"/>
    <x v="5"/>
    <s v="Rojas Magallanes"/>
    <s v="Marisol"/>
    <n v="6507"/>
    <n v="0"/>
    <n v="0"/>
    <s v="Efectivo"/>
    <s v="En Caja Operacional"/>
    <m/>
    <m/>
    <n v="6507"/>
    <n v="5468.0672268907565"/>
  </r>
  <r>
    <s v="Ovalle"/>
    <n v="220949"/>
    <d v="2025-12-22T12:52:34"/>
    <s v="66666666-6"/>
    <s v="Cliente OVALLE Generico"/>
    <x v="6"/>
    <s v="Ovalle"/>
    <s v="Emilio"/>
    <n v="30122"/>
    <n v="0"/>
    <n v="0"/>
    <s v="D√©bito"/>
    <s v="En Caja Operacional"/>
    <n v="201591"/>
    <m/>
    <n v="30122"/>
    <n v="25312.605042016807"/>
  </r>
  <r>
    <s v="Linares"/>
    <n v="220948"/>
    <d v="2025-12-22T12:29:59"/>
    <s v="66666666-6"/>
    <s v="Cliente LINARES Generico"/>
    <x v="1"/>
    <s v="Linares"/>
    <s v="Eduardo"/>
    <n v="38984"/>
    <n v="0"/>
    <n v="0"/>
    <s v="Efectivo"/>
    <s v="En Caja Operacional"/>
    <m/>
    <m/>
    <n v="38984"/>
    <n v="32759.663865546219"/>
  </r>
  <r>
    <s v="Ovalle"/>
    <n v="220947"/>
    <d v="2025-12-22T12:22:31"/>
    <s v="66666666-6"/>
    <s v="Cliente OVALLE Generico"/>
    <x v="6"/>
    <s v="Ovalle"/>
    <s v="Emilio"/>
    <n v="10627"/>
    <n v="0"/>
    <n v="0"/>
    <s v="D√©bito"/>
    <s v="En Caja Operacional"/>
    <n v="336252"/>
    <m/>
    <n v="10627"/>
    <n v="8930.2521008403364"/>
  </r>
  <r>
    <s v="Geronimo Mendez"/>
    <n v="220946"/>
    <d v="2025-12-22T12:14:40"/>
    <s v="9270382-7"/>
    <s v="ALVARO CORTES"/>
    <x v="2"/>
    <s v="Ventas Local"/>
    <s v="SoporteVenta"/>
    <n v="1143052"/>
    <n v="0"/>
    <n v="0"/>
    <s v="Cr√©dito"/>
    <s v="En Caja Operacional"/>
    <n v="323871"/>
    <m/>
    <n v="1143052"/>
    <n v="960547.89915966394"/>
  </r>
  <r>
    <s v="Geronimo Mendez"/>
    <n v="220945"/>
    <d v="2025-12-22T12:06:38"/>
    <s v="11823007-8"/>
    <s v="OMAR ANDRES RODRIGUEZ"/>
    <x v="14"/>
    <s v="Ventas Local"/>
    <s v="SoporteVenta"/>
    <n v="5242"/>
    <n v="0"/>
    <n v="0"/>
    <s v="Efectivo"/>
    <s v="En Caja Operacional"/>
    <m/>
    <m/>
    <n v="5242"/>
    <n v="4405.042016806723"/>
  </r>
  <r>
    <s v="Ovalle"/>
    <n v="220944"/>
    <d v="2025-12-22T12:03:48"/>
    <s v="12569531-0"/>
    <s v="EMILIO SANTOS"/>
    <x v="6"/>
    <s v="Ovalle"/>
    <s v="Emilio"/>
    <n v="28972"/>
    <n v="0"/>
    <n v="0"/>
    <s v="D√©bito"/>
    <s v="En Caja Operacional"/>
    <n v="306082"/>
    <m/>
    <n v="28972"/>
    <n v="24346.218487394959"/>
  </r>
  <r>
    <s v="Linares"/>
    <n v="220943"/>
    <d v="2025-12-22T11:54:44"/>
    <s v="66666666-6"/>
    <s v="Cliente LINARES Generico"/>
    <x v="1"/>
    <s v="Linares"/>
    <s v="Eduardo"/>
    <n v="77614"/>
    <n v="0"/>
    <n v="0"/>
    <s v="Cr√©dito"/>
    <s v="En Caja Operacional"/>
    <n v="787519"/>
    <m/>
    <n v="77614"/>
    <n v="65221.848739495799"/>
  </r>
  <r>
    <s v="Geronimo Mendez"/>
    <n v="220942"/>
    <d v="2025-12-22T11:40:20"/>
    <s v="77720259-6"/>
    <s v="SERVITECA BRIAN ROJAS MENARES SPA"/>
    <x v="1"/>
    <s v="Ventas Local"/>
    <s v="Maiko"/>
    <n v="98246"/>
    <n v="0"/>
    <n v="0"/>
    <s v="D√©bito"/>
    <s v="En Caja Operacional"/>
    <n v="143278"/>
    <m/>
    <n v="98246"/>
    <n v="82559.663865546216"/>
  </r>
  <r>
    <s v="Linares"/>
    <n v="220941"/>
    <d v="2025-12-22T11:32:28"/>
    <s v="66666666-6"/>
    <s v="Cliente LINARES Generico"/>
    <x v="1"/>
    <s v="Linares"/>
    <s v="Eduardo"/>
    <n v="64914"/>
    <n v="0"/>
    <n v="0"/>
    <s v="Efectivo"/>
    <s v="En Caja Operacional"/>
    <m/>
    <m/>
    <n v="64914"/>
    <n v="54549.579831932773"/>
  </r>
  <r>
    <s v="Geronimo Mendez"/>
    <n v="220940"/>
    <d v="2025-12-22T11:22:58"/>
    <s v="11823007-8"/>
    <s v="OMAR ANDRES RODRIGUEZ"/>
    <x v="14"/>
    <s v="Ventas Local"/>
    <s v="SoporteVenta"/>
    <n v="381197"/>
    <n v="0"/>
    <n v="0"/>
    <s v="Cr√©dito"/>
    <s v="En Caja Operacional"/>
    <n v="541258"/>
    <m/>
    <n v="381197"/>
    <n v="320333.61344537814"/>
  </r>
  <r>
    <s v="Geronimo Mendez"/>
    <n v="220939"/>
    <d v="2025-12-22T11:22:13"/>
    <s v="76013200-4"/>
    <s v="SOC. AGRICOLA COMERCIAL SERENA SUR LTDA"/>
    <x v="8"/>
    <s v="Ventas Local"/>
    <s v="Maiko"/>
    <n v="422245"/>
    <n v="0"/>
    <n v="0"/>
    <s v="Efectivo"/>
    <s v="En Caja Operacional"/>
    <m/>
    <m/>
    <n v="52245"/>
    <n v="43903.361344537814"/>
  </r>
  <r>
    <s v="Geronimo Mendez"/>
    <n v="220939"/>
    <d v="2025-12-22T11:22:13"/>
    <s v="76013200-4"/>
    <s v="SOC. AGRICOLA COMERCIAL SERENA SUR LTDA"/>
    <x v="8"/>
    <s v="Ventas Local"/>
    <s v="Maiko"/>
    <n v="422245"/>
    <n v="0"/>
    <n v="0"/>
    <s v="D√©bito"/>
    <s v="En Caja Operacional"/>
    <n v="54066"/>
    <m/>
    <n v="370000"/>
    <n v="310924.36974789918"/>
  </r>
  <r>
    <s v="Linares"/>
    <n v="220938"/>
    <d v="2025-12-22T11:22:01"/>
    <s v="66666666-6"/>
    <s v="Cliente LINARES Generico"/>
    <x v="1"/>
    <s v="Linares"/>
    <s v="Eduardo"/>
    <n v="72268"/>
    <n v="0"/>
    <n v="0"/>
    <s v="D√©bito"/>
    <s v="En Caja Operacional"/>
    <n v="118444"/>
    <m/>
    <n v="72268"/>
    <n v="60729.411764705888"/>
  </r>
  <r>
    <s v="Geronimo Mendez"/>
    <n v="220937"/>
    <d v="2025-12-22T11:15:45"/>
    <s v="76834335-7"/>
    <s v="TRANSPORTES SAJOP SPA"/>
    <x v="8"/>
    <s v="Ventas Local"/>
    <s v="Maiko"/>
    <n v="73721"/>
    <n v="0"/>
    <n v="0"/>
    <s v="D√©bito"/>
    <s v="En Caja Operacional"/>
    <n v="520627"/>
    <m/>
    <n v="73721"/>
    <n v="61950.420168067227"/>
  </r>
  <r>
    <s v="Linares"/>
    <n v="220936"/>
    <d v="2025-12-22T11:11:27"/>
    <s v="66666666-6"/>
    <s v="Cliente LINARES Generico"/>
    <x v="1"/>
    <s v="Linares"/>
    <s v="Eduardo"/>
    <n v="50488"/>
    <n v="0"/>
    <n v="0"/>
    <s v="Efectivo"/>
    <s v="En Caja Operacional"/>
    <m/>
    <m/>
    <n v="50488"/>
    <n v="42426.89075630252"/>
  </r>
  <r>
    <s v="Geronimo Mendez"/>
    <n v="220935"/>
    <d v="2025-12-22T11:10:24"/>
    <s v="66666666-6"/>
    <s v="Cliente GERONIMO MENDEZ Generico"/>
    <x v="8"/>
    <s v="Ventas Local"/>
    <s v="Maiko"/>
    <n v="70594"/>
    <n v="0"/>
    <n v="0"/>
    <s v="Efectivo"/>
    <s v="En Caja Operacional"/>
    <m/>
    <m/>
    <n v="51000"/>
    <n v="42857.142857142862"/>
  </r>
  <r>
    <s v="Geronimo Mendez"/>
    <n v="220935"/>
    <d v="2025-12-22T11:10:24"/>
    <s v="66666666-6"/>
    <s v="Cliente GERONIMO MENDEZ Generico"/>
    <x v="8"/>
    <s v="Ventas Local"/>
    <s v="Maiko"/>
    <n v="70594"/>
    <n v="0"/>
    <n v="0"/>
    <s v="D√©bito"/>
    <s v="En Caja Operacional"/>
    <n v="1499"/>
    <m/>
    <n v="19594"/>
    <n v="16465.546218487394"/>
  </r>
  <r>
    <s v="Ovalle"/>
    <n v="220934"/>
    <d v="2025-12-22T11:07:17"/>
    <s v="76595294-8"/>
    <s v="SOLDAMEC SPA"/>
    <x v="6"/>
    <s v="Ovalle"/>
    <s v="Emilio"/>
    <n v="155402"/>
    <n v="0"/>
    <n v="0"/>
    <s v="D√©bito"/>
    <s v="En Caja Operacional"/>
    <n v="660381"/>
    <m/>
    <n v="155402"/>
    <n v="130589.91596638656"/>
  </r>
  <r>
    <s v="Ovalle"/>
    <n v="220933"/>
    <d v="2025-12-22T11:00:54"/>
    <s v="78188343-3"/>
    <s v="SOCIEDAD ROCALLOSO SPA"/>
    <x v="6"/>
    <s v="Ovalle"/>
    <s v="Emilio"/>
    <n v="354446"/>
    <n v="0"/>
    <n v="0"/>
    <s v="Efectivo"/>
    <s v="En Caja Operacional"/>
    <m/>
    <m/>
    <n v="254446"/>
    <n v="213820.16806722691"/>
  </r>
  <r>
    <s v="Ovalle"/>
    <n v="220933"/>
    <d v="2025-12-22T11:00:54"/>
    <s v="78188343-3"/>
    <s v="SOCIEDAD ROCALLOSO SPA"/>
    <x v="6"/>
    <s v="Ovalle"/>
    <s v="Emilio"/>
    <n v="354446"/>
    <n v="0"/>
    <n v="0"/>
    <s v="D√©bito"/>
    <s v="En Caja Operacional"/>
    <n v="81"/>
    <m/>
    <n v="100000"/>
    <n v="84033.613445378156"/>
  </r>
  <r>
    <s v="Antillanca"/>
    <n v="220932"/>
    <d v="2025-12-22T10:59:24"/>
    <s v="7576617-3"/>
    <s v="ALEJANDRA DEL CARMEN HENRIQUEZ ROMERO"/>
    <x v="12"/>
    <s v="Antillanca"/>
    <s v="Nataly"/>
    <n v="852935"/>
    <n v="0"/>
    <n v="0"/>
    <s v="Transferencia"/>
    <s v="En Caja Operacional"/>
    <n v="132"/>
    <m/>
    <n v="852935"/>
    <n v="716752.10084033618"/>
  </r>
  <r>
    <s v="Linares"/>
    <n v="220931"/>
    <d v="2025-12-22T10:56:02"/>
    <s v="9262987-2"/>
    <s v="EDUARDO ENRIQUE PONCE"/>
    <x v="1"/>
    <s v="Linares"/>
    <s v="Eduardo"/>
    <n v="35283"/>
    <n v="0"/>
    <n v="0"/>
    <s v="Efectivo"/>
    <s v="En Caja Operacional"/>
    <m/>
    <m/>
    <n v="9283"/>
    <n v="7800.8403361344544"/>
  </r>
  <r>
    <s v="Linares"/>
    <n v="220931"/>
    <d v="2025-12-22T10:56:02"/>
    <s v="9262987-2"/>
    <s v="EDUARDO ENRIQUE PONCE"/>
    <x v="1"/>
    <s v="Linares"/>
    <s v="Eduardo"/>
    <n v="35283"/>
    <n v="0"/>
    <n v="0"/>
    <s v="D√©bito"/>
    <s v="En Caja Operacional"/>
    <n v="391675"/>
    <m/>
    <n v="26000"/>
    <n v="21848.73949579832"/>
  </r>
  <r>
    <s v="Linares"/>
    <n v="220930"/>
    <d v="2025-12-22T10:50:04"/>
    <s v="66666666-6"/>
    <s v="Cliente LINARES Generico"/>
    <x v="1"/>
    <s v="Linares"/>
    <s v="Eduardo"/>
    <n v="35297"/>
    <n v="0"/>
    <n v="0"/>
    <s v="Efectivo"/>
    <s v="En Caja Operacional"/>
    <m/>
    <m/>
    <n v="35297"/>
    <n v="29661.344537815126"/>
  </r>
  <r>
    <s v="Geronimo Mendez"/>
    <n v="220929"/>
    <d v="2025-12-22T10:47:20"/>
    <s v="77328392-3"/>
    <s v="COMERCIAL CRISTINA ALEJANDRA LEY QUIROZ EIRL"/>
    <x v="8"/>
    <s v="Ventas Local"/>
    <s v="Maiko"/>
    <n v="55178"/>
    <n v="0"/>
    <n v="0"/>
    <s v="D√©bito"/>
    <s v="En Caja Operacional"/>
    <n v="926932"/>
    <m/>
    <n v="55178"/>
    <n v="46368.067226890758"/>
  </r>
  <r>
    <s v="Geronimo Mendez"/>
    <n v="220928"/>
    <d v="2025-12-22T10:40:33"/>
    <s v="76970129-K"/>
    <s v="MAQUINAS DE ALUMINIO Y PVC SPA"/>
    <x v="8"/>
    <s v="Ventas Local"/>
    <s v="SoporteVenta"/>
    <n v="57706"/>
    <n v="0"/>
    <n v="0"/>
    <s v="Transferencia"/>
    <s v="En Caja Operacional"/>
    <n v="265"/>
    <m/>
    <n v="57706"/>
    <n v="48492.436974789918"/>
  </r>
  <r>
    <s v="Linares"/>
    <n v="220927"/>
    <d v="2025-12-22T10:27:35"/>
    <s v="66666666-6"/>
    <s v="Cliente LINARES Generico"/>
    <x v="1"/>
    <s v="Linares"/>
    <s v="Eduardo"/>
    <n v="84679"/>
    <n v="0"/>
    <n v="0"/>
    <s v="Cr√©dito"/>
    <s v="En Caja Operacional"/>
    <n v="682727"/>
    <m/>
    <n v="84679"/>
    <n v="71158.823529411762"/>
  </r>
  <r>
    <s v="Antillanca"/>
    <n v="220926"/>
    <d v="2025-12-22T10:26:22"/>
    <s v="77124812-8"/>
    <s v="TRANSPORTES C R SPA"/>
    <x v="9"/>
    <s v="Antillanca"/>
    <s v="Nataly"/>
    <n v="361122"/>
    <n v="0"/>
    <n v="0"/>
    <s v="Transferencia"/>
    <s v="En Caja Operacional"/>
    <n v="267"/>
    <m/>
    <n v="361122"/>
    <n v="303463.86554621853"/>
  </r>
  <r>
    <s v="Geronimo Mendez"/>
    <n v="220925"/>
    <d v="2025-12-22T10:21:15"/>
    <s v="79575680-9"/>
    <s v="COMARA LTDA."/>
    <x v="4"/>
    <s v="Ventas Local"/>
    <s v="SoporteVenta"/>
    <n v="341063"/>
    <n v="0"/>
    <n v="0"/>
    <s v="Transferencia"/>
    <s v="En Caja Operacional"/>
    <n v="275773"/>
    <m/>
    <n v="341063"/>
    <n v="286607.56302521011"/>
  </r>
  <r>
    <s v="Linares"/>
    <n v="220924"/>
    <d v="2025-12-22T10:00:18"/>
    <s v="66666666-6"/>
    <s v="Cliente LINARES Generico"/>
    <x v="1"/>
    <s v="Linares"/>
    <s v="Eduardo"/>
    <n v="68272"/>
    <n v="0"/>
    <n v="0"/>
    <s v="D√©bito"/>
    <s v="En Caja Operacional"/>
    <n v="758020"/>
    <m/>
    <n v="68272"/>
    <n v="57371.428571428572"/>
  </r>
  <r>
    <s v="Antillanca"/>
    <n v="220923"/>
    <d v="2025-12-22T09:25:14"/>
    <s v="76777089-8"/>
    <s v="TRANSPORTES PAREDES Y VIDAL SPA"/>
    <x v="13"/>
    <s v="Antillanca"/>
    <s v="Nataly"/>
    <n v="187828"/>
    <n v="0"/>
    <n v="0"/>
    <s v="Transferencia"/>
    <s v="En Caja Operacional"/>
    <n v="106"/>
    <m/>
    <n v="187828"/>
    <n v="157838.65546218489"/>
  </r>
  <r>
    <s v="Ovalle"/>
    <n v="220922"/>
    <d v="2025-12-22T09:22:16"/>
    <s v="77055023-8"/>
    <s v="COMERCIALIZADORA Y TRANSPORTE VALLENORTE SPA"/>
    <x v="6"/>
    <s v="Ovalle"/>
    <s v="Emilio"/>
    <n v="1428000"/>
    <n v="0"/>
    <n v="0"/>
    <s v="Cheque"/>
    <s v="En Caja Operacional"/>
    <n v="1325508"/>
    <d v="2026-01-20T00:00:00"/>
    <n v="357000"/>
    <n v="300000"/>
  </r>
  <r>
    <s v="Ovalle"/>
    <n v="220922"/>
    <d v="2025-12-22T09:22:16"/>
    <s v="77055023-8"/>
    <s v="COMERCIALIZADORA Y TRANSPORTE VALLENORTE SPA"/>
    <x v="6"/>
    <s v="Ovalle"/>
    <s v="Emilio"/>
    <n v="1428000"/>
    <n v="0"/>
    <n v="0"/>
    <s v="Cheque"/>
    <s v="En Caja Operacional"/>
    <n v="1325509"/>
    <d v="2026-02-20T00:00:00"/>
    <n v="357000"/>
    <n v="300000"/>
  </r>
  <r>
    <s v="Ovalle"/>
    <n v="220922"/>
    <d v="2025-12-22T09:22:16"/>
    <s v="77055023-8"/>
    <s v="COMERCIALIZADORA Y TRANSPORTE VALLENORTE SPA"/>
    <x v="6"/>
    <s v="Ovalle"/>
    <s v="Emilio"/>
    <n v="1428000"/>
    <n v="0"/>
    <n v="0"/>
    <s v="Cheque"/>
    <s v="En Caja Operacional"/>
    <n v="1325510"/>
    <d v="2026-03-20T00:00:00"/>
    <n v="357000"/>
    <n v="300000"/>
  </r>
  <r>
    <s v="Ovalle"/>
    <n v="220922"/>
    <d v="2025-12-22T09:22:16"/>
    <s v="77055023-8"/>
    <s v="COMERCIALIZADORA Y TRANSPORTE VALLENORTE SPA"/>
    <x v="6"/>
    <s v="Ovalle"/>
    <s v="Emilio"/>
    <n v="1428000"/>
    <n v="0"/>
    <n v="0"/>
    <s v="Cheque"/>
    <s v="En Caja Operacional"/>
    <n v="1325511"/>
    <d v="2026-04-20T00:00:00"/>
    <n v="357000"/>
    <n v="300000"/>
  </r>
  <r>
    <s v="Linares"/>
    <n v="220921"/>
    <d v="2025-12-22T09:21:15"/>
    <s v="66666666-6"/>
    <s v="Cliente LINARES Generico"/>
    <x v="1"/>
    <s v="Linares"/>
    <s v="Eduardo"/>
    <n v="31745"/>
    <n v="0"/>
    <n v="0"/>
    <s v="D√©bito"/>
    <s v="En Caja Operacional"/>
    <n v="21849"/>
    <m/>
    <n v="31745"/>
    <n v="26676.470588235294"/>
  </r>
  <r>
    <s v="Antillanca"/>
    <n v="220920"/>
    <d v="2025-12-22T09:20:13"/>
    <s v="76777089-8"/>
    <s v="TRANSPORTES PAREDES Y VIDAL SPA"/>
    <x v="13"/>
    <s v="Antillanca"/>
    <s v="Nataly"/>
    <n v="414760"/>
    <n v="0"/>
    <n v="0"/>
    <s v="Transferencia"/>
    <s v="En Caja Operacional"/>
    <n v="105"/>
    <m/>
    <n v="414760"/>
    <n v="348537.81512605044"/>
  </r>
  <r>
    <s v="Antillanca"/>
    <n v="220919"/>
    <d v="2025-12-22T08:42:46"/>
    <s v="77695488-8"/>
    <s v="LUBRICENTRO MUNOZ HERMANOS SPA"/>
    <x v="12"/>
    <s v="Antillanca"/>
    <s v="Nataly"/>
    <n v="770410"/>
    <n v="0"/>
    <n v="0"/>
    <s v="Transferencia"/>
    <s v="En Caja Operacional"/>
    <n v="141"/>
    <m/>
    <n v="770410"/>
    <n v="647403.36134453781"/>
  </r>
  <r>
    <s v="Linares"/>
    <n v="220918"/>
    <d v="2025-12-20T13:03:16"/>
    <s v="9262987-2"/>
    <s v="EDUARDO ENRIQUE PONCE"/>
    <x v="1"/>
    <s v="Linares"/>
    <s v="Eduardo"/>
    <n v="11162"/>
    <n v="0"/>
    <n v="0"/>
    <s v="Efectivo"/>
    <s v="En Caja Operacional"/>
    <m/>
    <m/>
    <n v="11162"/>
    <n v="9379.8319327731097"/>
  </r>
  <r>
    <s v="Geronimo Mendez"/>
    <n v="220917"/>
    <d v="2025-12-20T12:58:31"/>
    <s v="8878325-5"/>
    <s v="AMERICO ESQUIVEL"/>
    <x v="2"/>
    <s v="Contraloria"/>
    <s v="Selene"/>
    <n v="232873"/>
    <n v="0"/>
    <n v="0"/>
    <s v="Efectivo"/>
    <s v="En Caja Operacional"/>
    <m/>
    <m/>
    <n v="232873"/>
    <n v="195691.59663865546"/>
  </r>
  <r>
    <s v="Geronimo Mendez"/>
    <n v="220916"/>
    <d v="2025-12-20T12:58:03"/>
    <s v="11099578-4"/>
    <s v="MIRIAM GALLEGUILLOS"/>
    <x v="4"/>
    <s v="Contraloria"/>
    <s v="Selene"/>
    <n v="276000"/>
    <n v="0"/>
    <n v="0"/>
    <s v="Efectivo"/>
    <s v="En Caja Operacional"/>
    <m/>
    <m/>
    <n v="276000"/>
    <n v="231932.77310924372"/>
  </r>
  <r>
    <s v="Ovalle"/>
    <n v="220915"/>
    <d v="2025-12-20T12:46:17"/>
    <s v="66666666-6"/>
    <s v="Cliente OVALLE Generico"/>
    <x v="6"/>
    <s v="Ovalle"/>
    <s v="Emilio"/>
    <n v="5536"/>
    <n v="0"/>
    <n v="0"/>
    <s v="D√©bito"/>
    <s v="En Caja Operacional"/>
    <n v="503079"/>
    <m/>
    <n v="5536"/>
    <n v="4652.1008403361348"/>
  </r>
  <r>
    <s v="Rojas Magallanes"/>
    <n v="220914"/>
    <d v="2025-12-20T12:41:58"/>
    <s v="66666666-6"/>
    <s v="Cliente ROJAS MAGALLANES Generico"/>
    <x v="5"/>
    <s v="Rojas Magallanes"/>
    <s v="Marisol"/>
    <n v="40932"/>
    <n v="0"/>
    <n v="0"/>
    <s v="Efectivo"/>
    <s v="En Caja Operacional"/>
    <m/>
    <m/>
    <n v="40932"/>
    <n v="34396.638655462186"/>
  </r>
  <r>
    <s v="Geronimo Mendez"/>
    <n v="220913"/>
    <d v="2025-12-20T12:32:30"/>
    <s v="77307843-2"/>
    <s v="COMERCIAL PAULA FRANCISCA MILLA ORTIZ EIRL"/>
    <x v="4"/>
    <s v="Contraloria"/>
    <s v="Selene"/>
    <n v="38200"/>
    <n v="0"/>
    <n v="0"/>
    <s v="Efectivo"/>
    <s v="En Caja Operacional"/>
    <m/>
    <m/>
    <n v="38200"/>
    <n v="32100.840336134454"/>
  </r>
  <r>
    <s v="Geronimo Mendez"/>
    <n v="220912"/>
    <d v="2025-12-20T12:30:42"/>
    <s v="79716590-5"/>
    <s v="COMERCIAL REQUENA HNOS. LTDA."/>
    <x v="4"/>
    <s v="Contraloria"/>
    <s v="Selene"/>
    <n v="49295"/>
    <n v="0"/>
    <n v="0"/>
    <s v="Cheque"/>
    <s v="En Caja Operacional"/>
    <n v="4619327"/>
    <d v="2026-01-05T00:00:00"/>
    <n v="49295"/>
    <n v="41424.36974789916"/>
  </r>
  <r>
    <s v="Geronimo Mendez"/>
    <n v="220911"/>
    <d v="2025-12-20T12:27:10"/>
    <s v="76954022-9"/>
    <s v="REPUESTOS OBKES SPA"/>
    <x v="4"/>
    <s v="Contraloria"/>
    <s v="Selene"/>
    <n v="1269987"/>
    <n v="0"/>
    <n v="0"/>
    <s v="Transferencia"/>
    <s v="En Caja Operacional"/>
    <n v="275564"/>
    <m/>
    <n v="1269987"/>
    <n v="1067215.9663865548"/>
  </r>
  <r>
    <s v="Geronimo Mendez"/>
    <n v="220910"/>
    <d v="2025-12-20T12:24:37"/>
    <s v="77121882-2"/>
    <s v="PARABRISAS LA SERENA SPA"/>
    <x v="4"/>
    <s v="Contraloria"/>
    <s v="Selene"/>
    <n v="377020"/>
    <n v="0"/>
    <n v="0"/>
    <s v="Transferencia"/>
    <s v="En Caja Operacional"/>
    <n v="275563"/>
    <m/>
    <n v="377020"/>
    <n v="316823.5294117647"/>
  </r>
  <r>
    <s v="Geronimo Mendez"/>
    <n v="220909"/>
    <d v="2025-12-20T12:23:03"/>
    <s v="12844515-3"/>
    <s v="YURI BARRAZA"/>
    <x v="4"/>
    <s v="Contraloria"/>
    <s v="Selene"/>
    <n v="470656"/>
    <n v="0"/>
    <n v="0"/>
    <s v="Transferencia"/>
    <s v="En Caja Operacional"/>
    <n v="275561"/>
    <m/>
    <n v="470656"/>
    <n v="395509.24369747902"/>
  </r>
  <r>
    <s v="Rojas Magallanes"/>
    <n v="220908"/>
    <d v="2025-12-20T12:10:27"/>
    <s v="66666666-6"/>
    <s v="Cliente ROJAS MAGALLANES Generico"/>
    <x v="5"/>
    <s v="Rojas Magallanes"/>
    <s v="Marisol"/>
    <n v="39437"/>
    <n v="0"/>
    <n v="0"/>
    <s v="D√©bito"/>
    <s v="En Caja Operacional"/>
    <n v="2571"/>
    <m/>
    <n v="39437"/>
    <n v="33140.336134453784"/>
  </r>
  <r>
    <s v="Linares"/>
    <n v="220907"/>
    <d v="2025-12-20T11:40:27"/>
    <s v="66666666-6"/>
    <s v="Cliente LINARES Generico"/>
    <x v="1"/>
    <s v="Linares"/>
    <s v="Eduardo"/>
    <n v="46474"/>
    <n v="0"/>
    <n v="0"/>
    <s v="Efectivo"/>
    <s v="En Caja Operacional"/>
    <m/>
    <m/>
    <n v="46474"/>
    <n v="39053.781512605041"/>
  </r>
  <r>
    <s v="Ovalle"/>
    <n v="220906"/>
    <d v="2025-12-20T11:33:34"/>
    <s v="66666666-6"/>
    <s v="Cliente OVALLE Generico"/>
    <x v="6"/>
    <s v="Ovalle"/>
    <s v="Emilio"/>
    <n v="31510"/>
    <n v="0"/>
    <n v="0"/>
    <s v="D√©bito"/>
    <s v="En Caja Operacional"/>
    <n v="576312"/>
    <m/>
    <n v="31510"/>
    <n v="26478.991596638658"/>
  </r>
  <r>
    <s v="Linares"/>
    <n v="220905"/>
    <d v="2025-12-20T11:31:39"/>
    <s v="66666666-6"/>
    <s v="Cliente LINARES Generico"/>
    <x v="1"/>
    <s v="Linares"/>
    <s v="Eduardo"/>
    <n v="68163"/>
    <n v="0"/>
    <n v="0"/>
    <s v="D√©bito"/>
    <s v="En Caja Operacional"/>
    <n v="884685"/>
    <m/>
    <n v="68163"/>
    <n v="57279.831932773115"/>
  </r>
  <r>
    <s v="Ovalle"/>
    <n v="220904"/>
    <d v="2025-12-20T11:26:12"/>
    <s v="10792679-8"/>
    <s v="MARIA CORTES"/>
    <x v="6"/>
    <s v="Ovalle"/>
    <s v="Emilio"/>
    <n v="60975"/>
    <n v="0"/>
    <n v="0"/>
    <s v="Efectivo"/>
    <s v="En Caja Operacional"/>
    <m/>
    <m/>
    <n v="2"/>
    <n v="1.680672268907563"/>
  </r>
  <r>
    <s v="Ovalle"/>
    <n v="220904"/>
    <d v="2025-12-20T11:26:12"/>
    <s v="10792679-8"/>
    <s v="MARIA CORTES"/>
    <x v="6"/>
    <s v="Ovalle"/>
    <s v="Emilio"/>
    <n v="60975"/>
    <n v="0"/>
    <n v="0"/>
    <s v="D√©bito"/>
    <s v="En Caja Operacional"/>
    <n v="157332"/>
    <m/>
    <n v="60973"/>
    <n v="51237.815126050424"/>
  </r>
  <r>
    <s v="Ovalle"/>
    <n v="220903"/>
    <d v="2025-12-20T11:16:05"/>
    <s v="66666666-6"/>
    <s v="Cliente OVALLE Generico"/>
    <x v="6"/>
    <s v="Ovalle"/>
    <s v="Emilio"/>
    <n v="56628"/>
    <n v="0"/>
    <n v="0"/>
    <s v="D√©bito"/>
    <s v="En Caja Operacional"/>
    <n v="533637"/>
    <m/>
    <n v="56628"/>
    <n v="47586.554621848743"/>
  </r>
  <r>
    <s v="Geronimo Mendez"/>
    <n v="220902"/>
    <d v="2025-12-20T11:14:22"/>
    <s v="66666666-6"/>
    <s v="Cliente GERONIMO MENDEZ Generico"/>
    <x v="8"/>
    <s v="Ventas Local"/>
    <s v="Maiko"/>
    <n v="222268"/>
    <n v="0"/>
    <n v="0"/>
    <s v="D√©bito"/>
    <s v="En Caja Operacional"/>
    <n v="330183"/>
    <m/>
    <n v="222268"/>
    <n v="186779.83193277312"/>
  </r>
  <r>
    <s v="Geronimo Mendez"/>
    <n v="220901"/>
    <d v="2025-12-20T11:02:03"/>
    <s v="12897011-8"/>
    <s v="RODRIGO ANTONIO BENITEZ"/>
    <x v="8"/>
    <s v="Ventas Local"/>
    <s v="Maiko"/>
    <n v="83717"/>
    <n v="0"/>
    <n v="0"/>
    <s v="D√©bito"/>
    <s v="En Caja Operacional"/>
    <n v="8460"/>
    <m/>
    <n v="83717"/>
    <n v="70350.420168067227"/>
  </r>
  <r>
    <s v="Linares"/>
    <n v="220900"/>
    <d v="2025-12-20T10:57:52"/>
    <s v="66666666-6"/>
    <s v="Cliente LINARES Generico"/>
    <x v="1"/>
    <s v="Linares"/>
    <s v="Eduardo"/>
    <n v="30611"/>
    <n v="0"/>
    <n v="0"/>
    <s v="D√©bito"/>
    <s v="En Caja Operacional"/>
    <n v="596534"/>
    <m/>
    <n v="30611"/>
    <n v="25723.529411764706"/>
  </r>
  <r>
    <s v="Linares"/>
    <n v="220899"/>
    <d v="2025-12-20T10:54:58"/>
    <s v="66666666-6"/>
    <s v="Cliente LINARES Generico"/>
    <x v="1"/>
    <s v="Linares"/>
    <s v="Eduardo"/>
    <n v="55879"/>
    <n v="0"/>
    <n v="0"/>
    <s v="Efectivo"/>
    <s v="En Caja Operacional"/>
    <m/>
    <m/>
    <n v="55879"/>
    <n v="46957.142857142862"/>
  </r>
  <r>
    <s v="Ovalle"/>
    <n v="220898"/>
    <d v="2025-12-20T10:44:12"/>
    <s v="66666666-6"/>
    <s v="Cliente OVALLE Generico"/>
    <x v="6"/>
    <s v="Ovalle"/>
    <s v="Emilio"/>
    <n v="38331"/>
    <n v="0"/>
    <n v="0"/>
    <s v="D√©bito"/>
    <s v="En Caja Operacional"/>
    <n v="335171"/>
    <m/>
    <n v="38331"/>
    <n v="32210.9243697479"/>
  </r>
  <r>
    <s v="Linares"/>
    <n v="220897"/>
    <d v="2025-12-20T10:42:45"/>
    <s v="9262987-2"/>
    <s v="EDUARDO ENRIQUE PONCE"/>
    <x v="1"/>
    <s v="Linares"/>
    <s v="Eduardo"/>
    <n v="57814"/>
    <n v="0"/>
    <n v="0"/>
    <s v="D√©bito"/>
    <s v="En Caja Operacional"/>
    <n v="136954"/>
    <m/>
    <n v="57814"/>
    <n v="48583.193277310929"/>
  </r>
  <r>
    <s v="Linares"/>
    <n v="220896"/>
    <d v="2025-12-20T10:36:09"/>
    <s v="66666666-6"/>
    <s v="Cliente LINARES Generico"/>
    <x v="1"/>
    <s v="Linares"/>
    <s v="Eduardo"/>
    <n v="62328"/>
    <n v="0"/>
    <n v="0"/>
    <s v="Cr√©dito"/>
    <s v="En Caja Operacional"/>
    <n v="245410"/>
    <m/>
    <n v="62328"/>
    <n v="52376.470588235294"/>
  </r>
  <r>
    <s v="Linares"/>
    <n v="220895"/>
    <d v="2025-12-20T10:30:30"/>
    <s v="66666666-6"/>
    <s v="Cliente LINARES Generico"/>
    <x v="1"/>
    <s v="Linares"/>
    <s v="Eduardo"/>
    <n v="259359"/>
    <n v="0"/>
    <n v="0"/>
    <s v="D√©bito"/>
    <s v="En Caja Operacional"/>
    <n v="920445"/>
    <m/>
    <n v="259359"/>
    <n v="217948.73949579833"/>
  </r>
  <r>
    <s v="Geronimo Mendez"/>
    <n v="220894"/>
    <d v="2025-12-20T10:23:55"/>
    <s v="76958584-2"/>
    <s v="VP NEUMATICOS SPA"/>
    <x v="4"/>
    <s v="Cobranzas"/>
    <s v="Maria"/>
    <n v="208488"/>
    <n v="0"/>
    <n v="0"/>
    <s v="Cheque"/>
    <s v="En Caja Operacional"/>
    <n v="229"/>
    <d v="2025-12-31T00:00:00"/>
    <n v="208488"/>
    <n v="175200"/>
  </r>
  <r>
    <s v="Linares"/>
    <n v="220893"/>
    <d v="2025-12-20T10:16:39"/>
    <s v="66666666-6"/>
    <s v="Cliente LINARES Generico"/>
    <x v="1"/>
    <s v="Linares"/>
    <s v="Eduardo"/>
    <n v="6928"/>
    <n v="0"/>
    <n v="0"/>
    <s v="Efectivo"/>
    <s v="En Caja Operacional"/>
    <m/>
    <m/>
    <n v="6928"/>
    <n v="5821.8487394957983"/>
  </r>
  <r>
    <s v="Antillanca"/>
    <n v="220892"/>
    <d v="2025-12-20T10:12:56"/>
    <s v="84730900-8"/>
    <s v="TRANSPORTES SEKULOVIC Y COMPANIA LIMITADA"/>
    <x v="13"/>
    <s v="Antillanca"/>
    <s v="Nataly"/>
    <n v="2000000"/>
    <n v="0"/>
    <n v="0"/>
    <s v="Transferencia"/>
    <s v="En Caja Operacional"/>
    <n v="136"/>
    <m/>
    <n v="2000000"/>
    <n v="1680672.2689075631"/>
  </r>
  <r>
    <s v="Antillanca"/>
    <n v="220891"/>
    <d v="2025-12-20T10:09:31"/>
    <s v="3639764-0"/>
    <s v="GERMAN MARIO SCHMITZ"/>
    <x v="10"/>
    <s v="Antillanca"/>
    <s v="Nataly"/>
    <n v="178874"/>
    <n v="0"/>
    <n v="0"/>
    <s v="Transferencia"/>
    <s v="En Caja Operacional"/>
    <n v="178"/>
    <m/>
    <n v="100000"/>
    <n v="84033.613445378156"/>
  </r>
  <r>
    <s v="Antillanca"/>
    <n v="220891"/>
    <d v="2025-12-20T10:09:31"/>
    <s v="3639764-0"/>
    <s v="GERMAN MARIO SCHMITZ"/>
    <x v="10"/>
    <s v="Antillanca"/>
    <s v="Nataly"/>
    <n v="178874"/>
    <n v="0"/>
    <n v="0"/>
    <s v="Transferencia"/>
    <s v="En Caja Operacional"/>
    <n v="261"/>
    <m/>
    <n v="78874"/>
    <n v="66280.672268907569"/>
  </r>
  <r>
    <s v="Ovalle"/>
    <n v="220890"/>
    <d v="2025-12-20T10:09:06"/>
    <s v="77903917-K"/>
    <s v="TRANSPORTES ZA SPA"/>
    <x v="6"/>
    <s v="Ovalle"/>
    <s v="Emilio"/>
    <n v="110646"/>
    <n v="0"/>
    <n v="0"/>
    <s v="D√©bito"/>
    <s v="En Caja Operacional"/>
    <n v="700731"/>
    <m/>
    <n v="110646"/>
    <n v="92979.831932773115"/>
  </r>
  <r>
    <s v="Linares"/>
    <n v="220889"/>
    <d v="2025-12-20T09:54:22"/>
    <s v="66666666-6"/>
    <s v="Cliente LINARES Generico"/>
    <x v="1"/>
    <s v="Linares"/>
    <s v="Eduardo"/>
    <n v="31475"/>
    <n v="0"/>
    <n v="0"/>
    <s v="Efectivo"/>
    <s v="En Caja Operacional"/>
    <m/>
    <m/>
    <n v="31475"/>
    <n v="26449.579831932773"/>
  </r>
  <r>
    <s v="Ovalle"/>
    <n v="220888"/>
    <d v="2025-12-20T09:50:40"/>
    <s v="66666666-6"/>
    <s v="Cliente OVALLE Generico"/>
    <x v="6"/>
    <s v="Ovalle"/>
    <s v="Emilio"/>
    <n v="48327"/>
    <n v="0"/>
    <n v="0"/>
    <s v="D√©bito"/>
    <s v="En Caja Operacional"/>
    <n v="3643"/>
    <m/>
    <n v="48327"/>
    <n v="40610.924369747903"/>
  </r>
  <r>
    <s v="Linares"/>
    <n v="220887"/>
    <d v="2025-12-20T09:22:04"/>
    <s v="66666666-6"/>
    <s v="Cliente LINARES Generico"/>
    <x v="1"/>
    <s v="Linares"/>
    <s v="Eduardo"/>
    <n v="31809"/>
    <n v="0"/>
    <n v="0"/>
    <s v="D√©bito"/>
    <s v="En Caja Operacional"/>
    <n v="4158"/>
    <m/>
    <n v="31809"/>
    <n v="26730.252100840338"/>
  </r>
  <r>
    <s v="Linares"/>
    <n v="220886"/>
    <d v="2025-12-20T09:17:28"/>
    <s v="66666666-6"/>
    <s v="Cliente LINARES Generico"/>
    <x v="1"/>
    <s v="Linares"/>
    <s v="Eduardo"/>
    <n v="30611"/>
    <n v="0"/>
    <n v="0"/>
    <s v="Efectivo"/>
    <s v="En Caja Operacional"/>
    <m/>
    <m/>
    <n v="30611"/>
    <n v="25723.529411764706"/>
  </r>
  <r>
    <s v="Geronimo Mendez"/>
    <n v="220885"/>
    <d v="2025-12-19T17:53:31"/>
    <s v="9341458-6"/>
    <s v="GUILLERMO ARAYA"/>
    <x v="4"/>
    <s v="Contraloria"/>
    <s v="Selene"/>
    <n v="125000"/>
    <n v="0"/>
    <n v="0"/>
    <s v="Cheque"/>
    <s v="En Caja Operacional"/>
    <n v="2165494"/>
    <d v="2025-12-27T00:00:00"/>
    <n v="125000"/>
    <n v="105042.01680672269"/>
  </r>
  <r>
    <s v="Geronimo Mendez"/>
    <n v="220884"/>
    <d v="2025-12-19T17:47:27"/>
    <s v="76192591-1"/>
    <s v="JUDITH GODOY GARAY COMERCIALIZACION Y ELABORACION DE PRODUCTOS QUIMICOS"/>
    <x v="4"/>
    <s v="Contraloria"/>
    <s v="Selene"/>
    <n v="189125"/>
    <n v="0"/>
    <n v="0"/>
    <s v="Transferencia"/>
    <s v="En Caja Operacional"/>
    <n v="275559"/>
    <m/>
    <n v="189125"/>
    <n v="158928.57142857145"/>
  </r>
  <r>
    <s v="Geronimo Mendez"/>
    <n v="220883"/>
    <d v="2025-12-19T17:45:51"/>
    <s v="15052081-9"/>
    <s v="WILLIAMS ALEXIS CARVAJAL"/>
    <x v="4"/>
    <s v="Contraloria"/>
    <s v="Selene"/>
    <n v="215616"/>
    <n v="0"/>
    <n v="0"/>
    <s v="Transferencia"/>
    <s v="En Caja Operacional"/>
    <n v="275558"/>
    <m/>
    <n v="215616"/>
    <n v="181189.91596638656"/>
  </r>
  <r>
    <s v="Geronimo Mendez"/>
    <n v="220882"/>
    <d v="2025-12-19T17:44:36"/>
    <s v="24171771-2"/>
    <s v="RAUL SEGOVIA"/>
    <x v="4"/>
    <s v="Contraloria"/>
    <s v="Selene"/>
    <n v="933565"/>
    <n v="0"/>
    <n v="0"/>
    <s v="Transferencia"/>
    <s v="En Caja Operacional"/>
    <n v="275557"/>
    <m/>
    <n v="933565"/>
    <n v="784508.40336134459"/>
  </r>
  <r>
    <s v="Rojas Magallanes"/>
    <n v="220881"/>
    <d v="2025-12-19T17:43:02"/>
    <s v="76495857-8"/>
    <s v="AUTO MOTO REPUESTOS LIMITADA"/>
    <x v="5"/>
    <s v="Rojas Magallanes"/>
    <s v="Marisol"/>
    <n v="67085"/>
    <n v="0"/>
    <n v="0"/>
    <s v="D√©bito"/>
    <s v="En Caja Operacional"/>
    <n v="550346"/>
    <m/>
    <n v="67085"/>
    <n v="56373.949579831933"/>
  </r>
  <r>
    <s v="Geronimo Mendez"/>
    <n v="220880"/>
    <d v="2025-12-19T17:42:04"/>
    <s v="77043814-4"/>
    <s v="SERVICIOS AUTOMOTRIZ TP SPA"/>
    <x v="4"/>
    <s v="Contraloria"/>
    <s v="Selene"/>
    <n v="1222746"/>
    <n v="0"/>
    <n v="0"/>
    <s v="Cheque"/>
    <s v="En Caja Operacional"/>
    <n v="4608604"/>
    <d v="2026-01-30T00:00:00"/>
    <n v="407582"/>
    <n v="342505.8823529412"/>
  </r>
  <r>
    <s v="Geronimo Mendez"/>
    <n v="220880"/>
    <d v="2025-12-19T17:42:04"/>
    <s v="77043814-4"/>
    <s v="SERVICIOS AUTOMOTRIZ TP SPA"/>
    <x v="4"/>
    <s v="Contraloria"/>
    <s v="Selene"/>
    <n v="1222746"/>
    <n v="0"/>
    <n v="0"/>
    <s v="Cheque"/>
    <s v="En Caja Operacional"/>
    <n v="4608605"/>
    <d v="2026-02-27T00:00:00"/>
    <n v="407582"/>
    <n v="342505.8823529412"/>
  </r>
  <r>
    <s v="Geronimo Mendez"/>
    <n v="220880"/>
    <d v="2025-12-19T17:42:04"/>
    <s v="77043814-4"/>
    <s v="SERVICIOS AUTOMOTRIZ TP SPA"/>
    <x v="4"/>
    <s v="Contraloria"/>
    <s v="Selene"/>
    <n v="1222746"/>
    <n v="0"/>
    <n v="0"/>
    <s v="Cheque"/>
    <s v="En Caja Operacional"/>
    <n v="4608606"/>
    <d v="2026-03-27T00:00:00"/>
    <n v="407582"/>
    <n v="342505.8823529412"/>
  </r>
  <r>
    <s v="Geronimo Mendez"/>
    <n v="220879"/>
    <d v="2025-12-19T17:35:44"/>
    <s v="13759949-K"/>
    <s v="MANUEL JESUS ESPINOZA"/>
    <x v="4"/>
    <s v="Contraloria"/>
    <s v="Selene"/>
    <n v="200000"/>
    <n v="0"/>
    <n v="0"/>
    <s v="Transferencia"/>
    <s v="En Caja Operacional"/>
    <n v="275555"/>
    <m/>
    <n v="200000"/>
    <n v="168067.22689075631"/>
  </r>
  <r>
    <s v="Geronimo Mendez"/>
    <n v="220878"/>
    <d v="2025-12-19T17:33:06"/>
    <s v="7613432-4"/>
    <s v="CARLOS VARGAS"/>
    <x v="0"/>
    <s v="Contraloria"/>
    <s v="Selene"/>
    <n v="156174"/>
    <n v="0"/>
    <n v="0"/>
    <s v="Transferencia"/>
    <s v="En Caja Operacional"/>
    <n v="275627"/>
    <m/>
    <n v="156174"/>
    <n v="131238.65546218489"/>
  </r>
  <r>
    <s v="Geronimo Mendez"/>
    <n v="220877"/>
    <d v="2025-12-19T17:26:55"/>
    <s v="7562929-K"/>
    <s v="SERGIO BRAVO"/>
    <x v="0"/>
    <s v="Contraloria"/>
    <s v="Selene"/>
    <n v="230899"/>
    <n v="0"/>
    <n v="0"/>
    <s v="Cheque"/>
    <s v="En Caja Operacional"/>
    <n v="1416290"/>
    <d v="2026-01-12T00:00:00"/>
    <n v="230899"/>
    <n v="194032.77310924372"/>
  </r>
  <r>
    <s v="Linares"/>
    <n v="220876"/>
    <d v="2025-12-19T17:26:38"/>
    <s v="66666666-6"/>
    <s v="Cliente LINARES Generico"/>
    <x v="1"/>
    <s v="Linares"/>
    <s v="Eduardo"/>
    <n v="31475"/>
    <n v="0"/>
    <n v="0"/>
    <s v="D√©bito"/>
    <s v="En Caja Operacional"/>
    <n v="785042"/>
    <m/>
    <n v="31475"/>
    <n v="26449.579831932773"/>
  </r>
  <r>
    <s v="Geronimo Mendez"/>
    <n v="220875"/>
    <d v="2025-12-19T17:23:51"/>
    <s v="13648745-0"/>
    <s v="GONZALO FLORES"/>
    <x v="0"/>
    <s v="Contraloria"/>
    <s v="Selene"/>
    <n v="88208"/>
    <n v="0"/>
    <n v="0"/>
    <s v="Efectivo"/>
    <s v="En Caja Operacional"/>
    <m/>
    <m/>
    <n v="88208"/>
    <n v="74124.369747899167"/>
  </r>
  <r>
    <s v="Linares"/>
    <n v="220874"/>
    <d v="2025-12-19T17:23:48"/>
    <s v="66666666-6"/>
    <s v="Cliente LINARES Generico"/>
    <x v="1"/>
    <s v="Linares"/>
    <s v="Eduardo"/>
    <n v="91647"/>
    <n v="0"/>
    <n v="0"/>
    <s v="D√©bito"/>
    <s v="En Caja Operacional"/>
    <n v="252351"/>
    <m/>
    <n v="91647"/>
    <n v="77014.285714285725"/>
  </r>
  <r>
    <s v="Geronimo Mendez"/>
    <n v="220873"/>
    <d v="2025-12-19T17:21:18"/>
    <s v="7562929-K"/>
    <s v="SERGIO BRAVO"/>
    <x v="0"/>
    <s v="Contraloria"/>
    <s v="Selene"/>
    <n v="1612487"/>
    <n v="0"/>
    <n v="0"/>
    <s v="Cheque"/>
    <s v="En Caja Operacional"/>
    <n v="1416286"/>
    <d v="2025-12-30T00:00:00"/>
    <n v="400000"/>
    <n v="336134.45378151262"/>
  </r>
  <r>
    <s v="Geronimo Mendez"/>
    <n v="220873"/>
    <d v="2025-12-19T17:21:18"/>
    <s v="7562929-K"/>
    <s v="SERGIO BRAVO"/>
    <x v="0"/>
    <s v="Contraloria"/>
    <s v="Selene"/>
    <n v="1612487"/>
    <n v="0"/>
    <n v="0"/>
    <s v="Cheque"/>
    <s v="En Caja Operacional"/>
    <n v="1416287"/>
    <d v="2026-01-30T00:00:00"/>
    <n v="400000"/>
    <n v="336134.45378151262"/>
  </r>
  <r>
    <s v="Geronimo Mendez"/>
    <n v="220873"/>
    <d v="2025-12-19T17:21:18"/>
    <s v="7562929-K"/>
    <s v="SERGIO BRAVO"/>
    <x v="0"/>
    <s v="Contraloria"/>
    <s v="Selene"/>
    <n v="1612487"/>
    <n v="0"/>
    <n v="0"/>
    <s v="Cheque"/>
    <s v="En Caja Operacional"/>
    <n v="1416288"/>
    <d v="2026-02-28T00:00:00"/>
    <n v="400000"/>
    <n v="336134.45378151262"/>
  </r>
  <r>
    <s v="Geronimo Mendez"/>
    <n v="220873"/>
    <d v="2025-12-19T17:21:18"/>
    <s v="7562929-K"/>
    <s v="SERGIO BRAVO"/>
    <x v="0"/>
    <s v="Contraloria"/>
    <s v="Selene"/>
    <n v="1612487"/>
    <n v="0"/>
    <n v="0"/>
    <s v="Cheque"/>
    <s v="En Caja Operacional"/>
    <n v="1416289"/>
    <d v="2026-03-30T00:00:00"/>
    <n v="412487"/>
    <n v="346627.731092437"/>
  </r>
  <r>
    <s v="Linares"/>
    <n v="220872"/>
    <d v="2025-12-19T17:20:00"/>
    <s v="12020486-6"/>
    <s v="NILTON ROBLEDO"/>
    <x v="8"/>
    <s v="Linares"/>
    <s v="Eduardo"/>
    <n v="41514"/>
    <n v="0"/>
    <n v="0"/>
    <s v="Cr√©dito"/>
    <s v="En Caja Operacional"/>
    <n v="604612"/>
    <m/>
    <n v="41514"/>
    <n v="34885.71428571429"/>
  </r>
  <r>
    <s v="Geronimo Mendez"/>
    <n v="220871"/>
    <d v="2025-12-19T17:17:06"/>
    <s v="77364985-5"/>
    <s v="FLC LIMITADA"/>
    <x v="0"/>
    <s v="Contraloria"/>
    <s v="Selene"/>
    <n v="1960783"/>
    <n v="0"/>
    <n v="0"/>
    <s v="Cheque"/>
    <s v="En Caja Operacional"/>
    <n v="3976929"/>
    <d v="2025-12-30T00:00:00"/>
    <n v="500000"/>
    <n v="420168.06722689077"/>
  </r>
  <r>
    <s v="Geronimo Mendez"/>
    <n v="220871"/>
    <d v="2025-12-19T17:17:06"/>
    <s v="77364985-5"/>
    <s v="FLC LIMITADA"/>
    <x v="0"/>
    <s v="Contraloria"/>
    <s v="Selene"/>
    <n v="1960783"/>
    <n v="0"/>
    <n v="0"/>
    <s v="Cheque"/>
    <s v="En Caja Operacional"/>
    <n v="3976930"/>
    <d v="2026-01-30T00:00:00"/>
    <n v="500000"/>
    <n v="420168.06722689077"/>
  </r>
  <r>
    <s v="Geronimo Mendez"/>
    <n v="220871"/>
    <d v="2025-12-19T17:17:06"/>
    <s v="77364985-5"/>
    <s v="FLC LIMITADA"/>
    <x v="0"/>
    <s v="Contraloria"/>
    <s v="Selene"/>
    <n v="1960783"/>
    <n v="0"/>
    <n v="0"/>
    <s v="Cheque"/>
    <s v="En Caja Operacional"/>
    <n v="3976931"/>
    <d v="2026-02-28T00:00:00"/>
    <n v="500000"/>
    <n v="420168.06722689077"/>
  </r>
  <r>
    <s v="Geronimo Mendez"/>
    <n v="220871"/>
    <d v="2025-12-19T17:17:06"/>
    <s v="77364985-5"/>
    <s v="FLC LIMITADA"/>
    <x v="0"/>
    <s v="Contraloria"/>
    <s v="Selene"/>
    <n v="1960783"/>
    <n v="0"/>
    <n v="0"/>
    <s v="Cheque"/>
    <s v="En Caja Operacional"/>
    <n v="3976932"/>
    <d v="2026-03-30T00:00:00"/>
    <n v="460783"/>
    <n v="387212.60504201683"/>
  </r>
  <r>
    <s v="Geronimo Mendez"/>
    <n v="220870"/>
    <d v="2025-12-19T17:09:15"/>
    <s v="77251358-5"/>
    <s v="COMERCIAL V E K SPA"/>
    <x v="0"/>
    <s v="Contraloria"/>
    <s v="Selene"/>
    <n v="1806000"/>
    <n v="0"/>
    <n v="0"/>
    <s v="Cheque"/>
    <s v="En Caja Operacional"/>
    <n v="2254867"/>
    <d v="2025-12-30T00:00:00"/>
    <n v="450000"/>
    <n v="378151.26050420169"/>
  </r>
  <r>
    <s v="Geronimo Mendez"/>
    <n v="220870"/>
    <d v="2025-12-19T17:09:15"/>
    <s v="77251358-5"/>
    <s v="COMERCIAL V E K SPA"/>
    <x v="0"/>
    <s v="Contraloria"/>
    <s v="Selene"/>
    <n v="1806000"/>
    <n v="0"/>
    <n v="0"/>
    <s v="Cheque"/>
    <s v="En Caja Operacional"/>
    <n v="2254868"/>
    <d v="2026-01-30T00:00:00"/>
    <n v="450000"/>
    <n v="378151.26050420169"/>
  </r>
  <r>
    <s v="Geronimo Mendez"/>
    <n v="220870"/>
    <d v="2025-12-19T17:09:15"/>
    <s v="77251358-5"/>
    <s v="COMERCIAL V E K SPA"/>
    <x v="0"/>
    <s v="Contraloria"/>
    <s v="Selene"/>
    <n v="1806000"/>
    <n v="0"/>
    <n v="0"/>
    <s v="Cheque"/>
    <s v="En Caja Operacional"/>
    <n v="2254869"/>
    <d v="2026-02-28T00:00:00"/>
    <n v="450000"/>
    <n v="378151.26050420169"/>
  </r>
  <r>
    <s v="Geronimo Mendez"/>
    <n v="220870"/>
    <d v="2025-12-19T17:09:15"/>
    <s v="77251358-5"/>
    <s v="COMERCIAL V E K SPA"/>
    <x v="0"/>
    <s v="Contraloria"/>
    <s v="Selene"/>
    <n v="1806000"/>
    <n v="0"/>
    <n v="0"/>
    <s v="Cheque"/>
    <s v="En Caja Operacional"/>
    <n v="2254870"/>
    <d v="2026-03-30T00:00:00"/>
    <n v="456000"/>
    <n v="383193.27731092437"/>
  </r>
  <r>
    <s v="Linares"/>
    <n v="220869"/>
    <d v="2025-12-19T17:04:35"/>
    <s v="66666666-6"/>
    <s v="Cliente LINARES Generico"/>
    <x v="1"/>
    <s v="Linares"/>
    <s v="Eduardo"/>
    <n v="24213"/>
    <n v="0"/>
    <n v="0"/>
    <s v="Efectivo"/>
    <s v="En Caja Operacional"/>
    <m/>
    <m/>
    <n v="24213"/>
    <n v="20347.058823529413"/>
  </r>
  <r>
    <s v="Geronimo Mendez"/>
    <n v="220868"/>
    <d v="2025-12-19T16:59:59"/>
    <s v="76310972-0"/>
    <s v="TRANSPORTES PIZARRO LTDA"/>
    <x v="0"/>
    <s v="Contraloria"/>
    <s v="Selene"/>
    <n v="355537"/>
    <n v="0"/>
    <n v="0"/>
    <s v="Cheque"/>
    <s v="En Caja Operacional"/>
    <n v="2411717"/>
    <d v="2026-01-03T00:00:00"/>
    <n v="88750"/>
    <n v="74579.831932773115"/>
  </r>
  <r>
    <s v="Geronimo Mendez"/>
    <n v="220868"/>
    <d v="2025-12-19T16:59:59"/>
    <s v="76310972-0"/>
    <s v="TRANSPORTES PIZARRO LTDA"/>
    <x v="0"/>
    <s v="Contraloria"/>
    <s v="Selene"/>
    <n v="355537"/>
    <n v="0"/>
    <n v="0"/>
    <s v="Cheque"/>
    <s v="En Caja Operacional"/>
    <n v="2411719"/>
    <d v="2026-02-03T00:00:00"/>
    <n v="88750"/>
    <n v="74579.831932773115"/>
  </r>
  <r>
    <s v="Geronimo Mendez"/>
    <n v="220868"/>
    <d v="2025-12-19T16:59:59"/>
    <s v="76310972-0"/>
    <s v="TRANSPORTES PIZARRO LTDA"/>
    <x v="0"/>
    <s v="Contraloria"/>
    <s v="Selene"/>
    <n v="355537"/>
    <n v="0"/>
    <n v="0"/>
    <s v="Cheque"/>
    <s v="En Caja Operacional"/>
    <n v="2411720"/>
    <d v="2026-03-03T00:00:00"/>
    <n v="88750"/>
    <n v="74579.831932773115"/>
  </r>
  <r>
    <s v="Geronimo Mendez"/>
    <n v="220868"/>
    <d v="2025-12-19T16:59:59"/>
    <s v="76310972-0"/>
    <s v="TRANSPORTES PIZARRO LTDA"/>
    <x v="0"/>
    <s v="Contraloria"/>
    <s v="Selene"/>
    <n v="355537"/>
    <n v="0"/>
    <n v="0"/>
    <s v="Cheque"/>
    <s v="En Caja Operacional"/>
    <n v="2411721"/>
    <d v="2026-04-03T00:00:00"/>
    <n v="89287"/>
    <n v="75031.092436974795"/>
  </r>
  <r>
    <s v="Geronimo Mendez"/>
    <n v="220867"/>
    <d v="2025-12-19T16:54:50"/>
    <s v="9530253-K"/>
    <s v="JORGE CARVAJAL"/>
    <x v="0"/>
    <s v="Contraloria"/>
    <s v="Selene"/>
    <n v="775000"/>
    <n v="0"/>
    <n v="0"/>
    <s v="Cheque"/>
    <s v="En Caja Operacional"/>
    <n v="91"/>
    <d v="2026-01-09T00:00:00"/>
    <n v="449800"/>
    <n v="377983.19327731093"/>
  </r>
  <r>
    <s v="Geronimo Mendez"/>
    <n v="220867"/>
    <d v="2025-12-19T16:54:50"/>
    <s v="9530253-K"/>
    <s v="JORGE CARVAJAL"/>
    <x v="0"/>
    <s v="Contraloria"/>
    <s v="Selene"/>
    <n v="775000"/>
    <n v="0"/>
    <n v="0"/>
    <s v="Cheque"/>
    <s v="En Caja Operacional"/>
    <n v="92"/>
    <d v="2026-01-20T00:00:00"/>
    <n v="231000"/>
    <n v="194117.64705882352"/>
  </r>
  <r>
    <s v="Geronimo Mendez"/>
    <n v="220867"/>
    <d v="2025-12-19T16:54:50"/>
    <s v="9530253-K"/>
    <s v="JORGE CARVAJAL"/>
    <x v="0"/>
    <s v="Contraloria"/>
    <s v="Selene"/>
    <n v="775000"/>
    <n v="0"/>
    <n v="0"/>
    <s v="Efectivo"/>
    <s v="En Caja Operacional"/>
    <m/>
    <m/>
    <n v="94200"/>
    <n v="79159.663865546216"/>
  </r>
  <r>
    <s v="Linares"/>
    <n v="220866"/>
    <d v="2025-12-19T16:53:53"/>
    <s v="66666666-6"/>
    <s v="Cliente LINARES Generico"/>
    <x v="1"/>
    <s v="Linares"/>
    <s v="Eduardo"/>
    <n v="70594"/>
    <n v="0"/>
    <n v="0"/>
    <s v="Cr√©dito"/>
    <s v="En Caja Operacional"/>
    <n v="148144"/>
    <m/>
    <n v="70594"/>
    <n v="59322.689075630253"/>
  </r>
  <r>
    <s v="Geronimo Mendez"/>
    <n v="220865"/>
    <d v="2025-12-19T16:46:56"/>
    <s v="77918462-5"/>
    <s v="SOCIEDAD DE TRANSPORTES MARIO LARRONDO E HIJOS SPA"/>
    <x v="0"/>
    <s v="Contraloria"/>
    <s v="Selene"/>
    <n v="1185966"/>
    <n v="0"/>
    <n v="0"/>
    <s v="Cheque"/>
    <s v="En Caja Operacional"/>
    <n v="105"/>
    <d v="2026-01-22T00:00:00"/>
    <n v="295000"/>
    <n v="247899.15966386555"/>
  </r>
  <r>
    <s v="Geronimo Mendez"/>
    <n v="220865"/>
    <d v="2025-12-19T16:46:56"/>
    <s v="77918462-5"/>
    <s v="SOCIEDAD DE TRANSPORTES MARIO LARRONDO E HIJOS SPA"/>
    <x v="0"/>
    <s v="Contraloria"/>
    <s v="Selene"/>
    <n v="1185966"/>
    <n v="0"/>
    <n v="0"/>
    <s v="Cheque"/>
    <s v="En Caja Operacional"/>
    <n v="106"/>
    <d v="2026-02-22T00:00:00"/>
    <n v="295000"/>
    <n v="247899.15966386555"/>
  </r>
  <r>
    <s v="Geronimo Mendez"/>
    <n v="220865"/>
    <d v="2025-12-19T16:46:56"/>
    <s v="77918462-5"/>
    <s v="SOCIEDAD DE TRANSPORTES MARIO LARRONDO E HIJOS SPA"/>
    <x v="0"/>
    <s v="Contraloria"/>
    <s v="Selene"/>
    <n v="1185966"/>
    <n v="0"/>
    <n v="0"/>
    <s v="Cheque"/>
    <s v="En Caja Operacional"/>
    <n v="107"/>
    <d v="2026-03-22T00:00:00"/>
    <n v="295000"/>
    <n v="247899.15966386555"/>
  </r>
  <r>
    <s v="Geronimo Mendez"/>
    <n v="220865"/>
    <d v="2025-12-19T16:46:56"/>
    <s v="77918462-5"/>
    <s v="SOCIEDAD DE TRANSPORTES MARIO LARRONDO E HIJOS SPA"/>
    <x v="0"/>
    <s v="Contraloria"/>
    <s v="Selene"/>
    <n v="1185966"/>
    <n v="0"/>
    <n v="0"/>
    <s v="Cheque"/>
    <s v="En Caja Operacional"/>
    <n v="108"/>
    <d v="2026-04-15T00:00:00"/>
    <n v="300966"/>
    <n v="252912.60504201683"/>
  </r>
  <r>
    <s v="Geronimo Mendez"/>
    <n v="220864"/>
    <d v="2025-12-19T16:42:34"/>
    <s v="6045176-1"/>
    <s v="MARIA ELENA FARIAS"/>
    <x v="0"/>
    <s v="Contraloria"/>
    <s v="Selene"/>
    <n v="5786527"/>
    <n v="0"/>
    <n v="0"/>
    <s v="Cheque"/>
    <s v="En Caja Operacional"/>
    <n v="2750040"/>
    <d v="2026-01-10T00:00:00"/>
    <n v="1446632"/>
    <n v="1215657.142857143"/>
  </r>
  <r>
    <s v="Geronimo Mendez"/>
    <n v="220864"/>
    <d v="2025-12-19T16:42:34"/>
    <s v="6045176-1"/>
    <s v="MARIA ELENA FARIAS"/>
    <x v="0"/>
    <s v="Contraloria"/>
    <s v="Selene"/>
    <n v="5786527"/>
    <n v="0"/>
    <n v="0"/>
    <s v="Cheque"/>
    <s v="En Caja Operacional"/>
    <n v="2750041"/>
    <d v="2026-02-10T00:00:00"/>
    <n v="1446631"/>
    <n v="1215656.3025210085"/>
  </r>
  <r>
    <s v="Geronimo Mendez"/>
    <n v="220864"/>
    <d v="2025-12-19T16:42:34"/>
    <s v="6045176-1"/>
    <s v="MARIA ELENA FARIAS"/>
    <x v="0"/>
    <s v="Contraloria"/>
    <s v="Selene"/>
    <n v="5786527"/>
    <n v="0"/>
    <n v="0"/>
    <s v="Cheque"/>
    <s v="En Caja Operacional"/>
    <n v="2750042"/>
    <d v="2026-03-10T00:00:00"/>
    <n v="1446632"/>
    <n v="1215657.142857143"/>
  </r>
  <r>
    <s v="Geronimo Mendez"/>
    <n v="220864"/>
    <d v="2025-12-19T16:42:34"/>
    <s v="6045176-1"/>
    <s v="MARIA ELENA FARIAS"/>
    <x v="0"/>
    <s v="Contraloria"/>
    <s v="Selene"/>
    <n v="5786527"/>
    <n v="0"/>
    <n v="0"/>
    <s v="Cheque"/>
    <s v="En Caja Operacional"/>
    <n v="2750043"/>
    <d v="2026-04-10T00:00:00"/>
    <n v="1446632"/>
    <n v="1215657.142857143"/>
  </r>
  <r>
    <s v="Linares"/>
    <n v="220863"/>
    <d v="2025-12-19T16:27:10"/>
    <s v="66666666-6"/>
    <s v="Cliente LINARES Generico"/>
    <x v="1"/>
    <s v="Linares"/>
    <s v="Eduardo"/>
    <n v="48929"/>
    <n v="0"/>
    <n v="0"/>
    <s v="D√©bito"/>
    <s v="En Caja Operacional"/>
    <n v="431580"/>
    <m/>
    <n v="48929"/>
    <n v="41116.806722689078"/>
  </r>
  <r>
    <s v="Rojas Magallanes"/>
    <n v="220862"/>
    <d v="2025-12-19T16:20:23"/>
    <s v="66666666-6"/>
    <s v="Cliente ROJAS MAGALLANES Generico"/>
    <x v="5"/>
    <s v="Rojas Magallanes"/>
    <s v="Marisol"/>
    <n v="4731"/>
    <n v="0"/>
    <n v="0"/>
    <s v="Efectivo"/>
    <s v="En Caja Operacional"/>
    <m/>
    <m/>
    <n v="4731"/>
    <n v="3975.6302521008406"/>
  </r>
  <r>
    <s v="Geronimo Mendez"/>
    <n v="220861"/>
    <d v="2025-12-19T16:18:00"/>
    <s v="78420890-7"/>
    <s v="DISPROMIN LTDA."/>
    <x v="8"/>
    <s v="Ventas Local"/>
    <s v="Maiko"/>
    <n v="181107"/>
    <n v="0"/>
    <n v="0"/>
    <s v="Cr√©dito"/>
    <s v="En Caja Operacional"/>
    <n v="29820"/>
    <m/>
    <n v="181107"/>
    <n v="152190.75630252101"/>
  </r>
  <r>
    <s v="Geronimo Mendez"/>
    <n v="220860"/>
    <d v="2025-12-19T16:02:34"/>
    <s v="66666666-6"/>
    <s v="Cliente GERONIMO MENDEZ Generico"/>
    <x v="8"/>
    <s v="Ventas Local"/>
    <s v="Maiko"/>
    <n v="40817"/>
    <n v="0"/>
    <n v="0"/>
    <s v="D√©bito"/>
    <s v="En Caja Operacional"/>
    <n v="209763"/>
    <m/>
    <n v="40817"/>
    <n v="34300"/>
  </r>
  <r>
    <s v="Linares"/>
    <n v="220859"/>
    <d v="2025-12-19T16:01:49"/>
    <s v="66666666-6"/>
    <s v="Cliente LINARES Generico"/>
    <x v="1"/>
    <s v="Linares"/>
    <s v="Eduardo"/>
    <n v="47513"/>
    <n v="0"/>
    <n v="0"/>
    <s v="D√©bito"/>
    <s v="En Caja Operacional"/>
    <n v="104259"/>
    <m/>
    <n v="47513"/>
    <n v="39926.89075630252"/>
  </r>
  <r>
    <s v="Linares"/>
    <n v="220858"/>
    <d v="2025-12-19T15:47:04"/>
    <s v="66666666-6"/>
    <s v="Cliente LINARES Generico"/>
    <x v="1"/>
    <s v="Linares"/>
    <s v="Eduardo"/>
    <n v="80261"/>
    <n v="0"/>
    <n v="0"/>
    <s v="D√©bito"/>
    <s v="En Caja Operacional"/>
    <n v="453246"/>
    <m/>
    <n v="80261"/>
    <n v="67446.218487394959"/>
  </r>
  <r>
    <s v="Rojas Magallanes"/>
    <n v="220857"/>
    <d v="2025-12-19T15:22:49"/>
    <s v="66666666-6"/>
    <s v="Cliente ROJAS MAGALLANES Generico"/>
    <x v="5"/>
    <s v="Rojas Magallanes"/>
    <s v="Marisol"/>
    <n v="7574"/>
    <n v="0"/>
    <n v="0"/>
    <s v="Efectivo"/>
    <s v="En Caja Operacional"/>
    <m/>
    <m/>
    <n v="7574"/>
    <n v="6364.7058823529414"/>
  </r>
  <r>
    <s v="Rojas Magallanes"/>
    <n v="220856"/>
    <d v="2025-12-19T15:14:14"/>
    <s v="66666666-6"/>
    <s v="Cliente ROJAS MAGALLANES Generico"/>
    <x v="5"/>
    <s v="Rojas Magallanes"/>
    <s v="Marisol"/>
    <n v="37710"/>
    <n v="0"/>
    <n v="0"/>
    <s v="D√©bito"/>
    <s v="En Caja Operacional"/>
    <n v="135546"/>
    <m/>
    <n v="37710"/>
    <n v="31689.075630252104"/>
  </r>
  <r>
    <s v="Geronimo Mendez"/>
    <n v="220855"/>
    <d v="2025-12-19T14:51:51"/>
    <s v="77767537-0"/>
    <s v="LUBRICENTRO ROBINSON SPA"/>
    <x v="4"/>
    <s v="Ventas Local"/>
    <s v="SoporteVenta"/>
    <n v="542554"/>
    <n v="0"/>
    <n v="0"/>
    <s v="Transferencia"/>
    <s v="En Caja Operacional"/>
    <n v="275768"/>
    <m/>
    <n v="542554"/>
    <n v="455927.731092437"/>
  </r>
  <r>
    <s v="Ovalle"/>
    <n v="220854"/>
    <d v="2025-12-19T14:45:42"/>
    <s v="66666666-6"/>
    <s v="Cliente OVALLE Generico"/>
    <x v="6"/>
    <s v="Ovalle"/>
    <s v="Emilio"/>
    <n v="4921"/>
    <n v="0"/>
    <n v="0"/>
    <s v="D√©bito"/>
    <s v="En Caja Operacional"/>
    <n v="458132"/>
    <m/>
    <n v="4921"/>
    <n v="4135.2941176470586"/>
  </r>
  <r>
    <s v="Rojas Magallanes"/>
    <n v="220853"/>
    <d v="2025-12-19T14:04:41"/>
    <s v="66666666-6"/>
    <s v="Cliente ROJAS MAGALLANES Generico"/>
    <x v="5"/>
    <s v="Rojas Magallanes"/>
    <s v="Marisol"/>
    <n v="75010"/>
    <n v="0"/>
    <n v="0"/>
    <s v="D√©bito"/>
    <s v="En Caja Operacional"/>
    <n v="411521"/>
    <m/>
    <n v="75010"/>
    <n v="63033.613445378156"/>
  </r>
  <r>
    <s v="Rojas Magallanes"/>
    <n v="220852"/>
    <d v="2025-12-19T13:44:25"/>
    <s v="66666666-6"/>
    <s v="Cliente ROJAS MAGALLANES Generico"/>
    <x v="5"/>
    <s v="Rojas Magallanes"/>
    <s v="Cristian"/>
    <n v="61196"/>
    <n v="0"/>
    <n v="0"/>
    <s v="Cr√©dito"/>
    <s v="En Caja Operacional"/>
    <n v="50510"/>
    <m/>
    <n v="61196"/>
    <n v="51425.210084033613"/>
  </r>
  <r>
    <s v="Rojas Magallanes"/>
    <n v="220851"/>
    <d v="2025-12-19T13:42:05"/>
    <s v="12051321-4"/>
    <s v="Victoria Hurtado"/>
    <x v="5"/>
    <s v="Rojas Magallanes"/>
    <s v="Marisol"/>
    <n v="21512"/>
    <n v="0"/>
    <n v="0"/>
    <s v="D√©bito"/>
    <s v="En Caja Operacional"/>
    <n v="7906"/>
    <m/>
    <n v="21512"/>
    <n v="18077.310924369747"/>
  </r>
  <r>
    <s v="Linares"/>
    <n v="220850"/>
    <d v="2025-12-19T13:39:05"/>
    <s v="66666666-6"/>
    <s v="Cliente LINARES Generico"/>
    <x v="1"/>
    <s v="Linares"/>
    <s v="Eduardo"/>
    <n v="30636"/>
    <n v="0"/>
    <n v="0"/>
    <s v="D√©bito"/>
    <s v="En Caja Operacional"/>
    <n v="27735"/>
    <m/>
    <n v="30636"/>
    <n v="25744.537815126052"/>
  </r>
  <r>
    <s v="Geronimo Mendez"/>
    <n v="220849"/>
    <d v="2025-12-19T13:33:39"/>
    <s v="77753448-3"/>
    <s v="TRANSPORTES DITORRES SPA"/>
    <x v="8"/>
    <s v="Ventas Local"/>
    <s v="SoporteVenta"/>
    <n v="800000"/>
    <n v="0"/>
    <n v="0"/>
    <s v="Transferencia"/>
    <s v="En Caja Operacional"/>
    <n v="257"/>
    <m/>
    <n v="800000"/>
    <n v="672268.90756302525"/>
  </r>
  <r>
    <s v="Geronimo Mendez"/>
    <n v="220848"/>
    <d v="2025-12-19T13:29:29"/>
    <s v="76672449-3"/>
    <s v="GTI SERVICIOS LOGISTICOS SPA"/>
    <x v="8"/>
    <s v="Ventas Local"/>
    <s v="SoporteVenta"/>
    <n v="59976"/>
    <n v="0"/>
    <n v="0"/>
    <s v="Transferencia"/>
    <s v="En Caja Operacional"/>
    <n v="258"/>
    <m/>
    <n v="59976"/>
    <n v="50400"/>
  </r>
  <r>
    <s v="Geronimo Mendez"/>
    <n v="220847"/>
    <d v="2025-12-19T13:28:38"/>
    <s v="76672449-3"/>
    <s v="GTI SERVICIOS LOGISTICOS SPA"/>
    <x v="8"/>
    <s v="Ventas Local"/>
    <s v="SoporteVenta"/>
    <n v="59976"/>
    <n v="0"/>
    <n v="0"/>
    <s v="Transferencia"/>
    <s v="En Caja Operacional"/>
    <n v="52"/>
    <m/>
    <n v="59976"/>
    <n v="50400"/>
  </r>
  <r>
    <s v="Geronimo Mendez"/>
    <n v="220846"/>
    <d v="2025-12-19T13:20:24"/>
    <s v="10048610-5"/>
    <s v="LUIS ALVAREZ"/>
    <x v="8"/>
    <s v="Ventas Local"/>
    <s v="Maiko"/>
    <n v="392986"/>
    <n v="0"/>
    <n v="0"/>
    <s v="Cr√©dito"/>
    <s v="En Caja Operacional"/>
    <n v="251003"/>
    <m/>
    <n v="392986"/>
    <n v="330240.33613445377"/>
  </r>
  <r>
    <s v="Geronimo Mendez"/>
    <n v="220845"/>
    <d v="2025-12-19T13:19:56"/>
    <s v="77500195-K"/>
    <s v="GALVEZ AUTOMECANICA SPA"/>
    <x v="8"/>
    <s v="Ventas Local"/>
    <s v="SoporteVenta"/>
    <n v="58393"/>
    <n v="0"/>
    <n v="0"/>
    <s v="D√©bito"/>
    <s v="En Caja Operacional"/>
    <n v="1896"/>
    <m/>
    <n v="58393"/>
    <n v="49069.747899159665"/>
  </r>
  <r>
    <s v="Geronimo Mendez"/>
    <n v="220844"/>
    <d v="2025-12-19T12:57:29"/>
    <s v="76116993-9"/>
    <s v="DOA INGENIERIA Y CONSTRUCCION SPA"/>
    <x v="8"/>
    <s v="Ventas Local"/>
    <s v="Maiko"/>
    <n v="274443"/>
    <n v="0"/>
    <n v="0"/>
    <s v="Transferencia"/>
    <s v="En Caja Operacional"/>
    <n v="275763"/>
    <m/>
    <n v="274443"/>
    <n v="230624.36974789918"/>
  </r>
  <r>
    <s v="Geronimo Mendez"/>
    <n v="220843"/>
    <d v="2025-12-19T12:55:56"/>
    <s v="78211301-1"/>
    <s v="TRANSPORTES YONATAN SALVADOR ROMERO ORTEGA E.I.R.L."/>
    <x v="14"/>
    <s v="Ventas Local"/>
    <s v="Maiko"/>
    <n v="1428000"/>
    <n v="0"/>
    <n v="0"/>
    <s v="D√©bito"/>
    <s v="En Caja Operacional"/>
    <n v="806059"/>
    <m/>
    <n v="1428000"/>
    <n v="1200000"/>
  </r>
  <r>
    <s v="Linares"/>
    <n v="220842"/>
    <d v="2025-12-19T12:52:59"/>
    <s v="66666666-6"/>
    <s v="Cliente LINARES Generico"/>
    <x v="1"/>
    <s v="Linares"/>
    <s v="Eduardo"/>
    <n v="75901"/>
    <n v="0"/>
    <n v="0"/>
    <s v="D√©bito"/>
    <s v="En Caja Operacional"/>
    <n v="793070"/>
    <m/>
    <n v="75901"/>
    <n v="63782.352941176476"/>
  </r>
  <r>
    <s v="Linares"/>
    <n v="220841"/>
    <d v="2025-12-19T12:44:15"/>
    <s v="66666666-6"/>
    <s v="Cliente LINARES Generico"/>
    <x v="1"/>
    <s v="Linares"/>
    <s v="Eduardo"/>
    <n v="141188"/>
    <n v="0"/>
    <n v="0"/>
    <s v="D√©bito"/>
    <s v="En Caja Operacional"/>
    <n v="333452"/>
    <m/>
    <n v="141188"/>
    <n v="118645.37815126051"/>
  </r>
  <r>
    <s v="Geronimo Mendez"/>
    <n v="220840"/>
    <d v="2025-12-19T12:41:17"/>
    <s v="77260936-1"/>
    <s v="TRANS ESRI SPA"/>
    <x v="2"/>
    <s v="Contraloria"/>
    <s v="Selene"/>
    <n v="1611562"/>
    <n v="0"/>
    <n v="0"/>
    <s v="Cheque"/>
    <s v="En Caja Operacional"/>
    <n v="7702810"/>
    <d v="2025-12-12T00:00:00"/>
    <n v="1611562"/>
    <n v="1354253.781512605"/>
  </r>
  <r>
    <s v="Geronimo Mendez"/>
    <n v="220839"/>
    <d v="2025-12-19T12:37:49"/>
    <s v="11204497-3"/>
    <s v="OSCAR ARAYA"/>
    <x v="4"/>
    <s v="Contraloria"/>
    <s v="Selene"/>
    <n v="172885"/>
    <n v="0"/>
    <n v="0"/>
    <s v="Cheque"/>
    <s v="En Caja Operacional"/>
    <n v="2480209"/>
    <d v="2025-12-16T00:00:00"/>
    <n v="172885"/>
    <n v="145281.51260504202"/>
  </r>
  <r>
    <s v="Ovalle"/>
    <n v="220838"/>
    <d v="2025-12-19T12:30:03"/>
    <s v="66666666-6"/>
    <s v="Cliente OVALLE Generico"/>
    <x v="6"/>
    <s v="Ovalle"/>
    <s v="Emilio"/>
    <n v="30153"/>
    <n v="0"/>
    <n v="0"/>
    <s v="Efectivo"/>
    <s v="En Caja Operacional"/>
    <m/>
    <m/>
    <n v="30153"/>
    <n v="25338.655462184874"/>
  </r>
  <r>
    <s v="Geronimo Mendez"/>
    <n v="220837"/>
    <d v="2025-12-19T12:15:45"/>
    <s v="77384468-2"/>
    <s v="SOLO GOMAS SPA"/>
    <x v="4"/>
    <s v="Contraloria"/>
    <s v="Selene"/>
    <n v="434427"/>
    <n v="0"/>
    <n v="1"/>
    <s v="Cheque"/>
    <s v="En Caja Operacional"/>
    <n v="2439571"/>
    <d v="2025-11-15T00:00:00"/>
    <n v="144000"/>
    <n v="121008.40336134455"/>
  </r>
  <r>
    <s v="Geronimo Mendez"/>
    <n v="220837"/>
    <d v="2025-12-19T12:15:45"/>
    <s v="77384468-2"/>
    <s v="SOLO GOMAS SPA"/>
    <x v="4"/>
    <s v="Contraloria"/>
    <s v="Selene"/>
    <n v="434427"/>
    <n v="0"/>
    <n v="1"/>
    <s v="Cheque"/>
    <s v="En Caja Operacional"/>
    <n v="2439572"/>
    <d v="2025-11-22T00:00:00"/>
    <n v="144000"/>
    <n v="121008.40336134455"/>
  </r>
  <r>
    <s v="Geronimo Mendez"/>
    <n v="220837"/>
    <d v="2025-12-19T12:15:45"/>
    <s v="77384468-2"/>
    <s v="SOLO GOMAS SPA"/>
    <x v="4"/>
    <s v="Contraloria"/>
    <s v="Selene"/>
    <n v="434427"/>
    <n v="0"/>
    <n v="1"/>
    <s v="Cheque"/>
    <s v="En Caja Operacional"/>
    <n v="2439573"/>
    <d v="2025-11-29T00:00:00"/>
    <n v="146427"/>
    <n v="123047.89915966387"/>
  </r>
  <r>
    <s v="Geronimo Mendez"/>
    <n v="220836"/>
    <d v="2025-12-19T12:13:34"/>
    <s v="12983754-3"/>
    <s v="BERNARDO RIQUELME"/>
    <x v="4"/>
    <s v="Contraloria"/>
    <s v="Selene"/>
    <n v="473625"/>
    <n v="0"/>
    <n v="0"/>
    <s v="Cheque"/>
    <s v="En Caja Operacional"/>
    <n v="7724766"/>
    <d v="2025-12-17T00:00:00"/>
    <n v="173625"/>
    <n v="145903.36134453781"/>
  </r>
  <r>
    <s v="Geronimo Mendez"/>
    <n v="220836"/>
    <d v="2025-12-19T12:13:34"/>
    <s v="12983754-3"/>
    <s v="BERNARDO RIQUELME"/>
    <x v="4"/>
    <s v="Contraloria"/>
    <s v="Selene"/>
    <n v="473625"/>
    <n v="0"/>
    <n v="0"/>
    <s v="Cheque"/>
    <s v="En Caja Operacional"/>
    <n v="7724767"/>
    <d v="2026-01-17T00:00:00"/>
    <n v="150000"/>
    <n v="126050.42016806723"/>
  </r>
  <r>
    <s v="Geronimo Mendez"/>
    <n v="220836"/>
    <d v="2025-12-19T12:13:34"/>
    <s v="12983754-3"/>
    <s v="BERNARDO RIQUELME"/>
    <x v="4"/>
    <s v="Contraloria"/>
    <s v="Selene"/>
    <n v="473625"/>
    <n v="0"/>
    <n v="0"/>
    <s v="Cheque"/>
    <s v="En Caja Operacional"/>
    <n v="7724768"/>
    <d v="2026-02-17T00:00:00"/>
    <n v="150000"/>
    <n v="126050.42016806723"/>
  </r>
  <r>
    <s v="Geronimo Mendez"/>
    <n v="220835"/>
    <d v="2025-12-19T11:48:28"/>
    <s v="76444574-0"/>
    <s v="ARIDOS EXPRESS B&amp;C LIMITADA"/>
    <x v="0"/>
    <s v="Contraloria"/>
    <s v="Selene"/>
    <n v="237600"/>
    <n v="0"/>
    <n v="0"/>
    <s v="Transferencia"/>
    <s v="En Caja Operacional"/>
    <n v="275608"/>
    <m/>
    <n v="237600"/>
    <n v="199663.8655462185"/>
  </r>
  <r>
    <s v="Geronimo Mendez"/>
    <n v="220834"/>
    <d v="2025-12-19T11:47:18"/>
    <s v="76352359-4"/>
    <s v="SERVICIOS LOGISTICOS LAS DELICIAS LTDA"/>
    <x v="0"/>
    <s v="Contraloria"/>
    <s v="Selene"/>
    <n v="829520"/>
    <n v="0"/>
    <n v="0"/>
    <s v="Transferencia"/>
    <s v="En Caja Operacional"/>
    <n v="275609"/>
    <m/>
    <n v="829520"/>
    <n v="697075.63025210088"/>
  </r>
  <r>
    <s v="Geronimo Mendez"/>
    <n v="220833"/>
    <d v="2025-12-19T11:46:16"/>
    <s v="77566504-1"/>
    <s v="SATMAR SPA"/>
    <x v="0"/>
    <s v="Contraloria"/>
    <s v="Selene"/>
    <n v="131942"/>
    <n v="0"/>
    <n v="0"/>
    <s v="Transferencia"/>
    <s v="En Caja Operacional"/>
    <n v="275615"/>
    <m/>
    <n v="131942"/>
    <n v="110875.63025210085"/>
  </r>
  <r>
    <s v="Geronimo Mendez"/>
    <n v="220832"/>
    <d v="2025-12-19T11:45:22"/>
    <s v="78046282-5"/>
    <s v="GIGA EX SERVICIOS SPA"/>
    <x v="0"/>
    <s v="Contraloria"/>
    <s v="Selene"/>
    <n v="218722"/>
    <n v="0"/>
    <n v="0"/>
    <s v="Transferencia"/>
    <s v="En Caja Operacional"/>
    <n v="275616"/>
    <m/>
    <n v="218722"/>
    <n v="183800"/>
  </r>
  <r>
    <s v="Geronimo Mendez"/>
    <n v="220831"/>
    <d v="2025-12-19T11:44:29"/>
    <s v="15048061-2"/>
    <s v="ROLANDO ALEXIS  PEREIRA"/>
    <x v="0"/>
    <s v="Contraloria"/>
    <s v="Selene"/>
    <n v="549619"/>
    <n v="0"/>
    <n v="0"/>
    <s v="Transferencia"/>
    <s v="En Caja Operacional"/>
    <n v="275617"/>
    <m/>
    <n v="326794"/>
    <n v="274616.80672268907"/>
  </r>
  <r>
    <s v="Geronimo Mendez"/>
    <n v="220831"/>
    <d v="2025-12-19T11:44:29"/>
    <s v="15048061-2"/>
    <s v="ROLANDO ALEXIS  PEREIRA"/>
    <x v="0"/>
    <s v="Contraloria"/>
    <s v="Selene"/>
    <n v="549619"/>
    <n v="0"/>
    <n v="0"/>
    <s v="Transferencia"/>
    <s v="En Caja Operacional"/>
    <n v="275617"/>
    <m/>
    <n v="222825"/>
    <n v="187247.89915966388"/>
  </r>
  <r>
    <s v="Geronimo Mendez"/>
    <n v="220830"/>
    <d v="2025-12-19T11:43:17"/>
    <s v="66666666-6"/>
    <s v="Cliente GERONIMO MENDEZ Generico"/>
    <x v="8"/>
    <s v="Ventas Local"/>
    <s v="Maiko"/>
    <n v="150020"/>
    <n v="0"/>
    <n v="0"/>
    <s v="Cr√©dito"/>
    <s v="En Caja Operacional"/>
    <n v="110933"/>
    <m/>
    <n v="150020"/>
    <n v="126067.22689075631"/>
  </r>
  <r>
    <s v="Geronimo Mendez"/>
    <n v="220829"/>
    <d v="2025-12-19T11:36:39"/>
    <s v="14100257-0"/>
    <s v="ARMANDO ANDRES LOPEZ"/>
    <x v="2"/>
    <s v="Contraloria"/>
    <s v="Selene"/>
    <n v="7389157"/>
    <n v="0"/>
    <n v="0"/>
    <s v="Cheque"/>
    <s v="En Caja Operacional"/>
    <n v="5089318"/>
    <d v="2026-01-09T00:00:00"/>
    <n v="2000000"/>
    <n v="1680672.2689075631"/>
  </r>
  <r>
    <s v="Geronimo Mendez"/>
    <n v="220829"/>
    <d v="2025-12-19T11:36:39"/>
    <s v="14100257-0"/>
    <s v="ARMANDO ANDRES LOPEZ"/>
    <x v="2"/>
    <s v="Contraloria"/>
    <s v="Selene"/>
    <n v="7389157"/>
    <n v="0"/>
    <n v="0"/>
    <s v="Cheque"/>
    <s v="En Caja Operacional"/>
    <n v="5089319"/>
    <d v="2026-02-09T00:00:00"/>
    <n v="2000000"/>
    <n v="1680672.2689075631"/>
  </r>
  <r>
    <s v="Geronimo Mendez"/>
    <n v="220829"/>
    <d v="2025-12-19T11:36:39"/>
    <s v="14100257-0"/>
    <s v="ARMANDO ANDRES LOPEZ"/>
    <x v="2"/>
    <s v="Contraloria"/>
    <s v="Selene"/>
    <n v="7389157"/>
    <n v="0"/>
    <n v="0"/>
    <s v="Cheque"/>
    <s v="En Caja Operacional"/>
    <n v="5089320"/>
    <d v="2026-03-09T00:00:00"/>
    <n v="1389157"/>
    <n v="1167358.8235294118"/>
  </r>
  <r>
    <s v="Geronimo Mendez"/>
    <n v="220829"/>
    <d v="2025-12-19T11:36:39"/>
    <s v="14100257-0"/>
    <s v="ARMANDO ANDRES LOPEZ"/>
    <x v="2"/>
    <s v="Contraloria"/>
    <s v="Selene"/>
    <n v="7389157"/>
    <n v="0"/>
    <n v="0"/>
    <s v="Cheque"/>
    <s v="En Caja Operacional"/>
    <n v="5089317"/>
    <d v="2025-12-05T00:00:00"/>
    <n v="2000000"/>
    <n v="1680672.2689075631"/>
  </r>
  <r>
    <s v="Geronimo Mendez"/>
    <n v="220828"/>
    <d v="2025-12-19T11:34:44"/>
    <s v="19144614-3"/>
    <s v="FABIAN MILEN CORTES"/>
    <x v="8"/>
    <s v="Ventas Local"/>
    <s v="SoporteVenta"/>
    <n v="714000"/>
    <n v="0"/>
    <n v="0"/>
    <s v="Cheque"/>
    <s v="En Caja Operacional"/>
    <n v="5326925"/>
    <d v="2026-01-19T00:00:00"/>
    <n v="250000"/>
    <n v="210084.03361344538"/>
  </r>
  <r>
    <s v="Geronimo Mendez"/>
    <n v="220828"/>
    <d v="2025-12-19T11:34:44"/>
    <s v="19144614-3"/>
    <s v="FABIAN MILEN CORTES"/>
    <x v="8"/>
    <s v="Ventas Local"/>
    <s v="SoporteVenta"/>
    <n v="714000"/>
    <n v="0"/>
    <n v="0"/>
    <s v="Cheque"/>
    <s v="En Caja Operacional"/>
    <n v="5326926"/>
    <d v="2026-02-19T00:00:00"/>
    <n v="250000"/>
    <n v="210084.03361344538"/>
  </r>
  <r>
    <s v="Geronimo Mendez"/>
    <n v="220828"/>
    <d v="2025-12-19T11:34:44"/>
    <s v="19144614-3"/>
    <s v="FABIAN MILEN CORTES"/>
    <x v="8"/>
    <s v="Ventas Local"/>
    <s v="SoporteVenta"/>
    <n v="714000"/>
    <n v="0"/>
    <n v="0"/>
    <s v="Cheque"/>
    <s v="En Caja Operacional"/>
    <n v="5326927"/>
    <d v="2026-03-16T00:00:00"/>
    <n v="214000"/>
    <n v="179831.93277310926"/>
  </r>
  <r>
    <s v="Geronimo Mendez"/>
    <n v="220827"/>
    <d v="2025-12-19T11:30:57"/>
    <s v="76698455-K"/>
    <s v="INVERSIONES LUIS ROSENDO VALLEJOS CASTIL"/>
    <x v="2"/>
    <s v="Contraloria"/>
    <s v="Selene"/>
    <n v="2815960"/>
    <n v="0"/>
    <n v="0"/>
    <s v="Cheque"/>
    <s v="En Caja Operacional"/>
    <n v="7329930"/>
    <d v="2025-12-30T00:00:00"/>
    <n v="700000"/>
    <n v="588235.29411764711"/>
  </r>
  <r>
    <s v="Geronimo Mendez"/>
    <n v="220827"/>
    <d v="2025-12-19T11:30:57"/>
    <s v="76698455-K"/>
    <s v="INVERSIONES LUIS ROSENDO VALLEJOS CASTIL"/>
    <x v="2"/>
    <s v="Contraloria"/>
    <s v="Selene"/>
    <n v="2815960"/>
    <n v="0"/>
    <n v="0"/>
    <s v="Cheque"/>
    <s v="En Caja Operacional"/>
    <n v="7329931"/>
    <d v="2026-01-30T00:00:00"/>
    <n v="700000"/>
    <n v="588235.29411764711"/>
  </r>
  <r>
    <s v="Geronimo Mendez"/>
    <n v="220827"/>
    <d v="2025-12-19T11:30:57"/>
    <s v="76698455-K"/>
    <s v="INVERSIONES LUIS ROSENDO VALLEJOS CASTIL"/>
    <x v="2"/>
    <s v="Contraloria"/>
    <s v="Selene"/>
    <n v="2815960"/>
    <n v="0"/>
    <n v="0"/>
    <s v="Cheque"/>
    <s v="En Caja Operacional"/>
    <n v="7329932"/>
    <d v="2026-02-28T00:00:00"/>
    <n v="700000"/>
    <n v="588235.29411764711"/>
  </r>
  <r>
    <s v="Geronimo Mendez"/>
    <n v="220827"/>
    <d v="2025-12-19T11:30:57"/>
    <s v="76698455-K"/>
    <s v="INVERSIONES LUIS ROSENDO VALLEJOS CASTIL"/>
    <x v="2"/>
    <s v="Contraloria"/>
    <s v="Selene"/>
    <n v="2815960"/>
    <n v="0"/>
    <n v="0"/>
    <s v="Cheque"/>
    <s v="En Caja Operacional"/>
    <n v="7329933"/>
    <d v="2026-03-30T00:00:00"/>
    <n v="715960"/>
    <n v="601647.0588235294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45"/>
    <d v="2025-12-13T00:00:00"/>
    <n v="560000"/>
    <n v="470588.23529411765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46"/>
    <d v="2025-12-27T00:00:00"/>
    <n v="560000"/>
    <n v="470588.23529411765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47"/>
    <d v="2026-01-09T00:00:00"/>
    <n v="560000"/>
    <n v="470588.23529411765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48"/>
    <d v="2026-01-30T00:00:00"/>
    <n v="560000"/>
    <n v="470588.23529411765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49"/>
    <d v="2026-02-09T00:00:00"/>
    <n v="560000"/>
    <n v="470588.23529411765"/>
  </r>
  <r>
    <s v="Geronimo Mendez"/>
    <n v="220826"/>
    <d v="2025-12-19T11:24:58"/>
    <s v="77948539-0"/>
    <s v="COMERCIAL M V SPA"/>
    <x v="2"/>
    <s v="Contraloria"/>
    <s v="Selene"/>
    <n v="3381703"/>
    <n v="0"/>
    <n v="0"/>
    <s v="Cheque"/>
    <s v="En Caja Operacional"/>
    <n v="250"/>
    <d v="2026-02-27T00:00:00"/>
    <n v="581703"/>
    <n v="488826.05042016809"/>
  </r>
  <r>
    <s v="Ovalle"/>
    <n v="220825"/>
    <d v="2025-12-19T11:19:10"/>
    <s v="66666666-6"/>
    <s v="Cliente OVALLE Generico"/>
    <x v="6"/>
    <s v="Ovalle"/>
    <s v="Emilio"/>
    <n v="70594"/>
    <n v="0"/>
    <n v="0"/>
    <s v="D√©bito"/>
    <s v="En Caja Operacional"/>
    <n v="835272"/>
    <m/>
    <n v="70594"/>
    <n v="59322.689075630253"/>
  </r>
  <r>
    <s v="Linares"/>
    <n v="220824"/>
    <d v="2025-12-19T11:13:32"/>
    <s v="9262987-2"/>
    <s v="EDUARDO ENRIQUE PONCE"/>
    <x v="1"/>
    <s v="Linares"/>
    <s v="Eduardo"/>
    <n v="55396"/>
    <n v="0"/>
    <n v="0"/>
    <s v="Efectivo"/>
    <s v="En Caja Operacional"/>
    <m/>
    <m/>
    <n v="24396"/>
    <n v="20500.840336134454"/>
  </r>
  <r>
    <s v="Linares"/>
    <n v="220824"/>
    <d v="2025-12-19T11:13:32"/>
    <s v="9262987-2"/>
    <s v="EDUARDO ENRIQUE PONCE"/>
    <x v="1"/>
    <s v="Linares"/>
    <s v="Eduardo"/>
    <n v="55396"/>
    <n v="0"/>
    <n v="0"/>
    <s v="D√©bito"/>
    <s v="En Caja Operacional"/>
    <n v="719172"/>
    <m/>
    <n v="31000"/>
    <n v="26050.420168067227"/>
  </r>
  <r>
    <s v="Geronimo Mendez"/>
    <n v="220823"/>
    <d v="2025-12-19T11:04:22"/>
    <s v="7636071-5"/>
    <s v="OSVALDO GUILLERMO  FLANIGA"/>
    <x v="2"/>
    <s v="Contraloria"/>
    <s v="Selene"/>
    <n v="790912"/>
    <n v="0"/>
    <n v="0"/>
    <s v="Cheque"/>
    <s v="En Caja Operacional"/>
    <n v="10"/>
    <d v="2025-12-05T00:00:00"/>
    <n v="790912"/>
    <n v="664631.93277310929"/>
  </r>
  <r>
    <s v="Linares"/>
    <n v="220822"/>
    <d v="2025-12-19T11:02:45"/>
    <s v="77598901-7"/>
    <s v="TRANPORTE TRANSVEL SPA"/>
    <x v="8"/>
    <s v="Linares"/>
    <s v="Eduardo"/>
    <n v="55636"/>
    <n v="0"/>
    <n v="0"/>
    <s v="D√©bito"/>
    <s v="En Caja Operacional"/>
    <n v="21957"/>
    <m/>
    <n v="55636"/>
    <n v="46752.941176470587"/>
  </r>
  <r>
    <s v="Linares"/>
    <n v="220821"/>
    <d v="2025-12-19T10:53:46"/>
    <s v="66666666-6"/>
    <s v="Cliente LINARES Generico"/>
    <x v="1"/>
    <s v="Linares"/>
    <s v="Eduardo"/>
    <n v="34095"/>
    <n v="0"/>
    <n v="0"/>
    <s v="Efectivo"/>
    <s v="En Caja Operacional"/>
    <m/>
    <m/>
    <n v="34095"/>
    <n v="28651.26050420168"/>
  </r>
  <r>
    <s v="Geronimo Mendez"/>
    <n v="220820"/>
    <d v="2025-12-19T10:48:36"/>
    <s v="7636071-5"/>
    <s v="OSVALDO GUILLERMO  FLANIGA"/>
    <x v="2"/>
    <s v="Contraloria"/>
    <s v="Selene"/>
    <n v="2668200"/>
    <n v="0"/>
    <n v="2000"/>
    <s v="Cheque"/>
    <s v="En Caja Operacional"/>
    <n v="2242638"/>
    <d v="2025-12-30T00:00:00"/>
    <n v="667000"/>
    <n v="560504.20168067224"/>
  </r>
  <r>
    <s v="Geronimo Mendez"/>
    <n v="220820"/>
    <d v="2025-12-19T10:48:36"/>
    <s v="7636071-5"/>
    <s v="OSVALDO GUILLERMO  FLANIGA"/>
    <x v="2"/>
    <s v="Contraloria"/>
    <s v="Selene"/>
    <n v="2668200"/>
    <n v="0"/>
    <n v="2000"/>
    <s v="Cheque"/>
    <s v="En Caja Operacional"/>
    <n v="2242639"/>
    <d v="2026-01-30T00:00:00"/>
    <n v="667000"/>
    <n v="560504.20168067224"/>
  </r>
  <r>
    <s v="Geronimo Mendez"/>
    <n v="220820"/>
    <d v="2025-12-19T10:48:36"/>
    <s v="7636071-5"/>
    <s v="OSVALDO GUILLERMO  FLANIGA"/>
    <x v="2"/>
    <s v="Contraloria"/>
    <s v="Selene"/>
    <n v="2668200"/>
    <n v="0"/>
    <n v="2000"/>
    <s v="Cheque"/>
    <s v="En Caja Operacional"/>
    <n v="2242641"/>
    <d v="2026-02-28T00:00:00"/>
    <n v="667000"/>
    <n v="560504.20168067224"/>
  </r>
  <r>
    <s v="Geronimo Mendez"/>
    <n v="220820"/>
    <d v="2025-12-19T10:48:36"/>
    <s v="7636071-5"/>
    <s v="OSVALDO GUILLERMO  FLANIGA"/>
    <x v="2"/>
    <s v="Contraloria"/>
    <s v="Selene"/>
    <n v="2668200"/>
    <n v="0"/>
    <n v="2000"/>
    <s v="Cheque"/>
    <s v="En Caja Operacional"/>
    <n v="2242642"/>
    <d v="2026-03-30T00:00:00"/>
    <n v="667200"/>
    <n v="560672.26890756306"/>
  </r>
  <r>
    <s v="Geronimo Mendez"/>
    <n v="220819"/>
    <d v="2025-12-19T10:44:50"/>
    <s v="12843596-4"/>
    <s v="ROBERTO FERNANDEZ"/>
    <x v="2"/>
    <s v="Contraloria"/>
    <s v="Selene"/>
    <n v="1848423"/>
    <n v="0"/>
    <n v="0"/>
    <s v="Cheque"/>
    <s v="En Caja Operacional"/>
    <n v="5207154"/>
    <d v="2025-12-25T00:00:00"/>
    <n v="462000"/>
    <n v="388235.29411764705"/>
  </r>
  <r>
    <s v="Geronimo Mendez"/>
    <n v="220819"/>
    <d v="2025-12-19T10:44:50"/>
    <s v="12843596-4"/>
    <s v="ROBERTO FERNANDEZ"/>
    <x v="2"/>
    <s v="Contraloria"/>
    <s v="Selene"/>
    <n v="1848423"/>
    <n v="0"/>
    <n v="0"/>
    <s v="Cheque"/>
    <s v="En Caja Operacional"/>
    <n v="5207155"/>
    <d v="2026-01-25T00:00:00"/>
    <n v="462000"/>
    <n v="388235.29411764705"/>
  </r>
  <r>
    <s v="Geronimo Mendez"/>
    <n v="220819"/>
    <d v="2025-12-19T10:44:50"/>
    <s v="12843596-4"/>
    <s v="ROBERTO FERNANDEZ"/>
    <x v="2"/>
    <s v="Contraloria"/>
    <s v="Selene"/>
    <n v="1848423"/>
    <n v="0"/>
    <n v="0"/>
    <s v="Cheque"/>
    <s v="En Caja Operacional"/>
    <n v="5207156"/>
    <d v="2026-02-25T00:00:00"/>
    <n v="462000"/>
    <n v="388235.29411764705"/>
  </r>
  <r>
    <s v="Geronimo Mendez"/>
    <n v="220819"/>
    <d v="2025-12-19T10:44:50"/>
    <s v="12843596-4"/>
    <s v="ROBERTO FERNANDEZ"/>
    <x v="2"/>
    <s v="Contraloria"/>
    <s v="Selene"/>
    <n v="1848423"/>
    <n v="0"/>
    <n v="0"/>
    <s v="Cheque"/>
    <s v="En Caja Operacional"/>
    <n v="5207157"/>
    <d v="2026-03-25T00:00:00"/>
    <n v="462423"/>
    <n v="388590.75630252104"/>
  </r>
  <r>
    <s v="Geronimo Mendez"/>
    <n v="220818"/>
    <d v="2025-12-19T10:36:59"/>
    <s v="77229557-K"/>
    <s v="TRANSPORTE WILSON ANTONIO IRIARTE FLORES E I R L"/>
    <x v="2"/>
    <s v="Contraloria"/>
    <s v="Selene"/>
    <n v="2354470"/>
    <n v="0"/>
    <n v="0"/>
    <s v="Cheque"/>
    <s v="En Caja Operacional"/>
    <n v="763555"/>
    <d v="2025-12-20T00:00:00"/>
    <n v="580000"/>
    <n v="487394.95798319328"/>
  </r>
  <r>
    <s v="Geronimo Mendez"/>
    <n v="220818"/>
    <d v="2025-12-19T10:36:59"/>
    <s v="77229557-K"/>
    <s v="TRANSPORTE WILSON ANTONIO IRIARTE FLORES E I R L"/>
    <x v="2"/>
    <s v="Contraloria"/>
    <s v="Selene"/>
    <n v="2354470"/>
    <n v="0"/>
    <n v="0"/>
    <s v="Cheque"/>
    <s v="En Caja Operacional"/>
    <n v="763556"/>
    <d v="2026-01-20T00:00:00"/>
    <n v="580000"/>
    <n v="487394.95798319328"/>
  </r>
  <r>
    <s v="Geronimo Mendez"/>
    <n v="220818"/>
    <d v="2025-12-19T10:36:59"/>
    <s v="77229557-K"/>
    <s v="TRANSPORTE WILSON ANTONIO IRIARTE FLORES E I R L"/>
    <x v="2"/>
    <s v="Contraloria"/>
    <s v="Selene"/>
    <n v="2354470"/>
    <n v="0"/>
    <n v="0"/>
    <s v="Cheque"/>
    <s v="En Caja Operacional"/>
    <n v="763557"/>
    <d v="2026-02-20T00:00:00"/>
    <n v="580000"/>
    <n v="487394.95798319328"/>
  </r>
  <r>
    <s v="Geronimo Mendez"/>
    <n v="220818"/>
    <d v="2025-12-19T10:36:59"/>
    <s v="77229557-K"/>
    <s v="TRANSPORTE WILSON ANTONIO IRIARTE FLORES E I R L"/>
    <x v="2"/>
    <s v="Contraloria"/>
    <s v="Selene"/>
    <n v="2354470"/>
    <n v="0"/>
    <n v="0"/>
    <s v="Cheque"/>
    <s v="En Caja Operacional"/>
    <n v="763558"/>
    <d v="2026-03-20T00:00:00"/>
    <n v="614470"/>
    <n v="516361.34453781514"/>
  </r>
  <r>
    <s v="Geronimo Mendez"/>
    <n v="220817"/>
    <d v="2025-12-19T10:32:19"/>
    <s v="8564164-6"/>
    <s v="EDGARDO LOPEZ"/>
    <x v="2"/>
    <s v="Contraloria"/>
    <s v="Selene"/>
    <n v="159579"/>
    <n v="0"/>
    <n v="0"/>
    <s v="Cheque"/>
    <s v="En Caja Operacional"/>
    <n v="233"/>
    <d v="2025-12-08T00:00:00"/>
    <n v="159579"/>
    <n v="134100"/>
  </r>
  <r>
    <s v="Rojas Magallanes"/>
    <n v="220816"/>
    <d v="2025-12-19T10:32:11"/>
    <s v="66666666-6"/>
    <s v="Cliente ROJAS MAGALLANES Generico"/>
    <x v="5"/>
    <s v="Rojas Magallanes"/>
    <s v="Marisol"/>
    <n v="95618"/>
    <n v="0"/>
    <n v="0"/>
    <s v="Cr√©dito"/>
    <s v="En Caja Operacional"/>
    <n v="300414"/>
    <m/>
    <n v="95618"/>
    <n v="80351.26050420168"/>
  </r>
  <r>
    <s v="Geronimo Mendez"/>
    <n v="220815"/>
    <d v="2025-12-19T10:29:55"/>
    <s v="10504215-9"/>
    <s v="LUIS TORO"/>
    <x v="2"/>
    <s v="Contraloria"/>
    <s v="Selene"/>
    <n v="3816271"/>
    <n v="0"/>
    <n v="0"/>
    <s v="Cheque"/>
    <s v="En Caja Operacional"/>
    <n v="6563471"/>
    <d v="2026-01-05T00:00:00"/>
    <n v="816271"/>
    <n v="685942.01680672274"/>
  </r>
  <r>
    <s v="Geronimo Mendez"/>
    <n v="220815"/>
    <d v="2025-12-19T10:29:55"/>
    <s v="10504215-9"/>
    <s v="LUIS TORO"/>
    <x v="2"/>
    <s v="Contraloria"/>
    <s v="Selene"/>
    <n v="3816271"/>
    <n v="0"/>
    <n v="0"/>
    <s v="Cheque"/>
    <s v="En Caja Operacional"/>
    <n v="6563472"/>
    <d v="2026-02-05T00:00:00"/>
    <n v="1000000"/>
    <n v="840336.13445378153"/>
  </r>
  <r>
    <s v="Geronimo Mendez"/>
    <n v="220815"/>
    <d v="2025-12-19T10:29:55"/>
    <s v="10504215-9"/>
    <s v="LUIS TORO"/>
    <x v="2"/>
    <s v="Contraloria"/>
    <s v="Selene"/>
    <n v="3816271"/>
    <n v="0"/>
    <n v="0"/>
    <s v="Cheque"/>
    <s v="En Caja Operacional"/>
    <n v="6563473"/>
    <d v="2026-03-05T00:00:00"/>
    <n v="1000000"/>
    <n v="840336.13445378153"/>
  </r>
  <r>
    <s v="Geronimo Mendez"/>
    <n v="220815"/>
    <d v="2025-12-19T10:29:55"/>
    <s v="10504215-9"/>
    <s v="LUIS TORO"/>
    <x v="2"/>
    <s v="Contraloria"/>
    <s v="Selene"/>
    <n v="3816271"/>
    <n v="0"/>
    <n v="0"/>
    <s v="Cheque"/>
    <s v="En Caja Operacional"/>
    <n v="6563474"/>
    <d v="2026-04-05T00:00:00"/>
    <n v="1000000"/>
    <n v="840336.13445378153"/>
  </r>
  <r>
    <s v="Geronimo Mendez"/>
    <n v="220814"/>
    <d v="2025-12-19T10:27:46"/>
    <s v="77143204-2"/>
    <s v="INGENIERIA TECNICA MECANICA SPA"/>
    <x v="8"/>
    <s v="Ventas Local"/>
    <s v="SoporteVenta"/>
    <n v="-272005"/>
    <n v="211383"/>
    <n v="0"/>
    <s v="Transferencia"/>
    <s v="En Caja Operacional"/>
    <n v="253"/>
    <m/>
    <n v="272005"/>
    <n v="228575.63025210085"/>
  </r>
  <r>
    <s v="Geronimo Mendez"/>
    <n v="220813"/>
    <d v="2025-12-19T10:27:38"/>
    <s v="9164489-4"/>
    <s v="JULIA ERCIRA DIAZ"/>
    <x v="2"/>
    <s v="Contraloria"/>
    <s v="Selene"/>
    <n v="1211290"/>
    <n v="0"/>
    <n v="7"/>
    <s v="Cheque"/>
    <s v="En Caja Operacional"/>
    <n v="6567337"/>
    <d v="2025-12-23T00:00:00"/>
    <n v="300000"/>
    <n v="252100.84033613445"/>
  </r>
  <r>
    <s v="Geronimo Mendez"/>
    <n v="220813"/>
    <d v="2025-12-19T10:27:38"/>
    <s v="9164489-4"/>
    <s v="JULIA ERCIRA DIAZ"/>
    <x v="2"/>
    <s v="Contraloria"/>
    <s v="Selene"/>
    <n v="1211290"/>
    <n v="0"/>
    <n v="7"/>
    <s v="Cheque"/>
    <s v="En Caja Operacional"/>
    <n v="6567338"/>
    <d v="2026-01-23T00:00:00"/>
    <n v="300000"/>
    <n v="252100.84033613445"/>
  </r>
  <r>
    <s v="Geronimo Mendez"/>
    <n v="220813"/>
    <d v="2025-12-19T10:27:38"/>
    <s v="9164489-4"/>
    <s v="JULIA ERCIRA DIAZ"/>
    <x v="2"/>
    <s v="Contraloria"/>
    <s v="Selene"/>
    <n v="1211290"/>
    <n v="0"/>
    <n v="7"/>
    <s v="Cheque"/>
    <s v="En Caja Operacional"/>
    <n v="6567339"/>
    <d v="2026-02-23T00:00:00"/>
    <n v="300000"/>
    <n v="252100.84033613445"/>
  </r>
  <r>
    <s v="Geronimo Mendez"/>
    <n v="220813"/>
    <d v="2025-12-19T10:27:38"/>
    <s v="9164489-4"/>
    <s v="JULIA ERCIRA DIAZ"/>
    <x v="2"/>
    <s v="Contraloria"/>
    <s v="Selene"/>
    <n v="1211290"/>
    <n v="0"/>
    <n v="7"/>
    <s v="Cheque"/>
    <s v="En Caja Operacional"/>
    <n v="6567340"/>
    <d v="2026-03-23T00:00:00"/>
    <n v="311290"/>
    <n v="261588.23529411765"/>
  </r>
  <r>
    <s v="Geronimo Mendez"/>
    <n v="220812"/>
    <d v="2025-12-19T10:22:33"/>
    <s v="8485315-1"/>
    <s v="WENCESLAO DELGADO"/>
    <x v="2"/>
    <s v="Contraloria"/>
    <s v="Selene"/>
    <n v="2133364"/>
    <n v="0"/>
    <n v="0"/>
    <s v="Cheque"/>
    <s v="En Caja Operacional"/>
    <n v="604612"/>
    <d v="2026-01-10T00:00:00"/>
    <n v="427000"/>
    <n v="358823.5294117647"/>
  </r>
  <r>
    <s v="Geronimo Mendez"/>
    <n v="220812"/>
    <d v="2025-12-19T10:22:33"/>
    <s v="8485315-1"/>
    <s v="WENCESLAO DELGADO"/>
    <x v="2"/>
    <s v="Contraloria"/>
    <s v="Selene"/>
    <n v="2133364"/>
    <n v="0"/>
    <n v="0"/>
    <s v="Cheque"/>
    <s v="En Caja Operacional"/>
    <n v="604613"/>
    <d v="2026-01-20T00:00:00"/>
    <n v="427000"/>
    <n v="358823.5294117647"/>
  </r>
  <r>
    <s v="Geronimo Mendez"/>
    <n v="220812"/>
    <d v="2025-12-19T10:22:33"/>
    <s v="8485315-1"/>
    <s v="WENCESLAO DELGADO"/>
    <x v="2"/>
    <s v="Contraloria"/>
    <s v="Selene"/>
    <n v="2133364"/>
    <n v="0"/>
    <n v="0"/>
    <s v="Cheque"/>
    <s v="En Caja Operacional"/>
    <n v="604614"/>
    <d v="2026-02-05T00:00:00"/>
    <n v="427000"/>
    <n v="358823.5294117647"/>
  </r>
  <r>
    <s v="Geronimo Mendez"/>
    <n v="220812"/>
    <d v="2025-12-19T10:22:33"/>
    <s v="8485315-1"/>
    <s v="WENCESLAO DELGADO"/>
    <x v="2"/>
    <s v="Contraloria"/>
    <s v="Selene"/>
    <n v="2133364"/>
    <n v="0"/>
    <n v="0"/>
    <s v="Cheque"/>
    <s v="En Caja Operacional"/>
    <n v="604615"/>
    <d v="2026-02-12T00:00:00"/>
    <n v="427000"/>
    <n v="358823.5294117647"/>
  </r>
  <r>
    <s v="Geronimo Mendez"/>
    <n v="220812"/>
    <d v="2025-12-19T10:22:33"/>
    <s v="8485315-1"/>
    <s v="WENCESLAO DELGADO"/>
    <x v="2"/>
    <s v="Contraloria"/>
    <s v="Selene"/>
    <n v="2133364"/>
    <n v="0"/>
    <n v="0"/>
    <s v="Cheque"/>
    <s v="En Caja Operacional"/>
    <n v="604616"/>
    <d v="2026-02-19T00:00:00"/>
    <n v="425364"/>
    <n v="357448.73949579836"/>
  </r>
  <r>
    <s v="Linares"/>
    <n v="220811"/>
    <d v="2025-12-19T10:12:45"/>
    <s v="66666666-6"/>
    <s v="Cliente LINARES Generico"/>
    <x v="1"/>
    <s v="Linares"/>
    <s v="Eduardo"/>
    <n v="69065"/>
    <n v="0"/>
    <n v="0"/>
    <s v="D√©bito"/>
    <s v="En Caja Operacional"/>
    <n v="13137"/>
    <m/>
    <n v="69065"/>
    <n v="58037.815126050424"/>
  </r>
  <r>
    <s v="Antillanca"/>
    <n v="220810"/>
    <d v="2025-12-19T09:54:38"/>
    <s v="77799247-3"/>
    <s v="ENGINECARE SPA"/>
    <x v="12"/>
    <s v="Antillanca"/>
    <s v="Nataly"/>
    <n v="63758"/>
    <n v="0"/>
    <n v="0"/>
    <s v="Transferencia"/>
    <s v="En Caja Operacional"/>
    <n v="68"/>
    <m/>
    <n v="63758"/>
    <n v="53578.151260504201"/>
  </r>
  <r>
    <s v="Antillanca"/>
    <n v="220809"/>
    <d v="2025-12-19T09:50:01"/>
    <s v="76310356-0"/>
    <s v="CONSTRUCTORA BRASAN LIMITADA"/>
    <x v="9"/>
    <s v="Antillanca"/>
    <s v="Nataly"/>
    <n v="747299"/>
    <n v="0"/>
    <n v="0"/>
    <s v="Transferencia"/>
    <s v="En Caja Operacional"/>
    <n v="244"/>
    <m/>
    <n v="747299"/>
    <n v="627982.3529411765"/>
  </r>
  <r>
    <s v="Antillanca"/>
    <n v="220808"/>
    <d v="2025-12-19T09:45:57"/>
    <s v="76026876-3"/>
    <s v="SOC. IMP. ORIENTALES SERVICE LTDA."/>
    <x v="3"/>
    <s v="Antillanca"/>
    <s v="Nataly"/>
    <n v="88803"/>
    <n v="0"/>
    <n v="0"/>
    <s v="Transferencia"/>
    <s v="En Caja Operacional"/>
    <n v="125"/>
    <m/>
    <n v="88803"/>
    <n v="74624.369747899167"/>
  </r>
  <r>
    <s v="Geronimo Mendez"/>
    <n v="220807"/>
    <d v="2025-12-19T09:09:15"/>
    <s v="78218072-K"/>
    <s v="COMERCIALIZADORA DE REPTOS AUT. FRANCISCO FLORES EIRL"/>
    <x v="4"/>
    <s v="Ventas Local"/>
    <s v="SoporteVenta"/>
    <n v="146632"/>
    <n v="0"/>
    <n v="0"/>
    <s v="Efectivo"/>
    <s v="En Caja Operacional"/>
    <m/>
    <m/>
    <n v="146632"/>
    <n v="123220.1680672269"/>
  </r>
  <r>
    <s v="Linares"/>
    <n v="220806"/>
    <d v="2025-12-18T18:04:03"/>
    <s v="66666666-6"/>
    <s v="Cliente LINARES Generico"/>
    <x v="1"/>
    <s v="Linares"/>
    <s v="Eduardo"/>
    <n v="30636"/>
    <n v="0"/>
    <n v="0"/>
    <s v="D√©bito"/>
    <s v="En Caja Operacional"/>
    <n v="78778"/>
    <m/>
    <n v="30636"/>
    <n v="25744.537815126052"/>
  </r>
  <r>
    <s v="Linares"/>
    <n v="220805"/>
    <d v="2025-12-18T16:47:38"/>
    <s v="77598901-7"/>
    <s v="TRANPORTE TRANSVEL SPA"/>
    <x v="8"/>
    <s v="Linares"/>
    <s v="Eduardo"/>
    <n v="83605"/>
    <n v="0"/>
    <n v="0"/>
    <s v="D√©bito"/>
    <s v="En Caja Operacional"/>
    <n v="461086"/>
    <m/>
    <n v="83605"/>
    <n v="70256.302521008402"/>
  </r>
  <r>
    <s v="Linares"/>
    <n v="220804"/>
    <d v="2025-12-18T16:36:12"/>
    <s v="66666666-6"/>
    <s v="Cliente LINARES Generico"/>
    <x v="1"/>
    <s v="Linares"/>
    <s v="Eduardo"/>
    <n v="44843"/>
    <n v="0"/>
    <n v="0"/>
    <s v="D√©bito"/>
    <s v="En Caja Operacional"/>
    <n v="4857"/>
    <m/>
    <n v="44843"/>
    <n v="37683.193277310929"/>
  </r>
  <r>
    <s v="Geronimo Mendez"/>
    <n v="220803"/>
    <d v="2025-12-18T16:33:22"/>
    <s v="77981330-4"/>
    <s v="HERNAN CORTES E HIJOS LTDA."/>
    <x v="2"/>
    <s v="Contraloria"/>
    <s v="Selene"/>
    <n v="269073"/>
    <n v="0"/>
    <n v="0"/>
    <s v="Cheque"/>
    <s v="En Caja Operacional"/>
    <n v="4228520"/>
    <d v="2025-12-09T00:00:00"/>
    <n v="269073"/>
    <n v="226111.76470588235"/>
  </r>
  <r>
    <s v="Geronimo Mendez"/>
    <n v="220802"/>
    <d v="2025-12-18T16:30:40"/>
    <s v="8183523-3"/>
    <s v="ROSA CONTRERAS"/>
    <x v="2"/>
    <s v="Contraloria"/>
    <s v="Selene"/>
    <n v="1362266"/>
    <n v="0"/>
    <n v="0"/>
    <s v="Transferencia"/>
    <s v="En Caja Operacional"/>
    <n v="275376"/>
    <m/>
    <n v="1362266"/>
    <n v="1144761.3445378151"/>
  </r>
  <r>
    <s v="Antillanca"/>
    <n v="1"/>
    <d v="2025-12-18T16:05:43"/>
    <s v="9224731-7"/>
    <s v="EDUARDO CHRISTIAN  GUZMAN"/>
    <x v="9"/>
    <s v="Antillanca"/>
    <s v="Nataly"/>
    <n v="494009"/>
    <n v="0"/>
    <n v="0"/>
    <s v="Cr√©dito"/>
    <s v="En Caja Operacional"/>
    <n v="283"/>
    <m/>
    <n v="494009"/>
    <n v="415133.61344537814"/>
  </r>
  <r>
    <s v="Geronimo Mendez"/>
    <n v="220801"/>
    <d v="2025-12-18T16:03:38"/>
    <s v="5725872-1"/>
    <s v="SEGUNDO ENRIQUE MORALES"/>
    <x v="14"/>
    <s v="Ventas Local"/>
    <s v="Maiko"/>
    <n v="104237"/>
    <n v="0"/>
    <n v="0"/>
    <s v="D√©bito"/>
    <s v="En Caja Operacional"/>
    <n v="3056"/>
    <m/>
    <n v="104237"/>
    <n v="87594.117647058825"/>
  </r>
  <r>
    <s v="Geronimo Mendez"/>
    <n v="220800"/>
    <d v="2025-12-18T16:02:05"/>
    <s v="9301767-6"/>
    <s v="ANTONIO NOE ROJAS"/>
    <x v="8"/>
    <s v="Ventas Local"/>
    <s v="SoporteVenta"/>
    <n v="196493"/>
    <n v="0"/>
    <n v="0"/>
    <s v="D√©bito"/>
    <s v="En Caja Operacional"/>
    <n v="9623"/>
    <m/>
    <n v="196493"/>
    <n v="165120.16806722688"/>
  </r>
  <r>
    <s v="Geronimo Mendez"/>
    <n v="220799"/>
    <d v="2025-12-18T15:54:43"/>
    <s v="77329341-4"/>
    <s v="TRANSPORTES CARLOS CONTRERAS E I R L"/>
    <x v="1"/>
    <s v="Ventas Local"/>
    <s v="Maiko"/>
    <n v="519592"/>
    <n v="0"/>
    <n v="0"/>
    <s v="D√©bito"/>
    <s v="En Caja Operacional"/>
    <n v="528865"/>
    <m/>
    <n v="519592"/>
    <n v="436631.93277310923"/>
  </r>
  <r>
    <s v="Linares"/>
    <n v="220798"/>
    <d v="2025-12-18T15:53:25"/>
    <s v="66666666-6"/>
    <s v="Cliente LINARES Generico"/>
    <x v="1"/>
    <s v="Linares"/>
    <s v="Eduardo"/>
    <n v="56753"/>
    <n v="0"/>
    <n v="0"/>
    <s v="Cr√©dito"/>
    <s v="En Caja Operacional"/>
    <n v="522874"/>
    <m/>
    <n v="56753"/>
    <n v="47691.596638655465"/>
  </r>
  <r>
    <s v="Rojas Magallanes"/>
    <n v="220797"/>
    <d v="2025-12-18T15:51:58"/>
    <s v="66666666-6"/>
    <s v="Cliente ROJAS MAGALLANES Generico"/>
    <x v="5"/>
    <s v="Rojas Magallanes"/>
    <s v="Marisol"/>
    <n v="42037"/>
    <n v="0"/>
    <n v="0"/>
    <s v="Efectivo"/>
    <s v="En Caja Operacional"/>
    <m/>
    <m/>
    <n v="42037"/>
    <n v="35325.210084033613"/>
  </r>
  <r>
    <s v="Geronimo Mendez"/>
    <n v="220796"/>
    <d v="2025-12-18T15:39:59"/>
    <s v="76932141-1"/>
    <s v="TRANSPORTES LAURITA SPA"/>
    <x v="8"/>
    <s v="Ventas Local"/>
    <s v="Maiko"/>
    <n v="2666200"/>
    <n v="0"/>
    <n v="0"/>
    <s v="Transferencia"/>
    <s v="En Caja Operacional"/>
    <n v="275753"/>
    <m/>
    <n v="2666200"/>
    <n v="2240504.2016806724"/>
  </r>
  <r>
    <s v="Geronimo Mendez"/>
    <n v="220795"/>
    <d v="2025-12-18T13:22:07"/>
    <s v="15042052-0"/>
    <s v="EDUARDO ROBLES"/>
    <x v="2"/>
    <s v="Contraloria"/>
    <s v="Selene"/>
    <n v="892891"/>
    <n v="0"/>
    <n v="0"/>
    <s v="Transferencia"/>
    <s v="En Caja Operacional"/>
    <n v="275374"/>
    <m/>
    <n v="892891"/>
    <n v="750328.57142857148"/>
  </r>
  <r>
    <s v="Geronimo Mendez"/>
    <n v="220794"/>
    <d v="2025-12-18T13:21:09"/>
    <s v="17492941-6"/>
    <s v="EVANGELI VALDIVIA"/>
    <x v="4"/>
    <s v="Contraloria"/>
    <s v="Selene"/>
    <n v="500000"/>
    <n v="0"/>
    <n v="0"/>
    <s v="Efectivo"/>
    <s v="En Caja Operacional"/>
    <m/>
    <m/>
    <n v="500000"/>
    <n v="420168.06722689077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77"/>
    <d v="2026-02-18T00:00:00"/>
    <n v="74000"/>
    <n v="62184.873949579836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78"/>
    <d v="2026-02-24T00:00:00"/>
    <n v="74000"/>
    <n v="62184.873949579836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79"/>
    <d v="2026-03-04T00:00:00"/>
    <n v="74000"/>
    <n v="62184.873949579836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80"/>
    <d v="2026-03-16T00:00:00"/>
    <n v="74000"/>
    <n v="62184.873949579836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81"/>
    <d v="2026-03-20T00:00:00"/>
    <n v="74000"/>
    <n v="62184.873949579836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83"/>
    <d v="2026-03-27T00:00:00"/>
    <n v="76599"/>
    <n v="64368.907563025212"/>
  </r>
  <r>
    <s v="Geronimo Mendez"/>
    <n v="220793"/>
    <d v="2025-12-18T13:19:13"/>
    <s v="8506031-7"/>
    <s v="MARIA ASCUI"/>
    <x v="4"/>
    <s v="Contraloria"/>
    <s v="Selene"/>
    <n v="520599"/>
    <n v="0"/>
    <n v="0"/>
    <s v="Cheque"/>
    <s v="En Caja Operacional"/>
    <n v="7472582"/>
    <d v="2026-03-24T00:00:00"/>
    <n v="74000"/>
    <n v="62184.873949579836"/>
  </r>
  <r>
    <s v="Geronimo Mendez"/>
    <n v="220792"/>
    <d v="2025-12-18T13:15:56"/>
    <s v="76907317-5"/>
    <s v="COMERCIAL MICHAEL FLORES CABRERA E.I.R.L"/>
    <x v="4"/>
    <s v="Contraloria"/>
    <s v="Selene"/>
    <n v="1220428"/>
    <n v="0"/>
    <n v="0"/>
    <s v="Cheque"/>
    <s v="En Caja Operacional"/>
    <n v="9488349"/>
    <d v="2026-02-27T00:00:00"/>
    <n v="610000"/>
    <n v="512605.04201680672"/>
  </r>
  <r>
    <s v="Geronimo Mendez"/>
    <n v="220792"/>
    <d v="2025-12-18T13:15:56"/>
    <s v="76907317-5"/>
    <s v="COMERCIAL MICHAEL FLORES CABRERA E.I.R.L"/>
    <x v="4"/>
    <s v="Contraloria"/>
    <s v="Selene"/>
    <n v="1220428"/>
    <n v="0"/>
    <n v="0"/>
    <s v="Cheque"/>
    <s v="En Caja Operacional"/>
    <n v="9488350"/>
    <d v="2026-03-27T00:00:00"/>
    <n v="610428"/>
    <n v="512964.70588235295"/>
  </r>
  <r>
    <s v="Linares"/>
    <n v="220791"/>
    <d v="2025-12-18T13:15:04"/>
    <s v="66666666-6"/>
    <s v="Cliente LINARES Generico"/>
    <x v="1"/>
    <s v="Linares"/>
    <s v="Eduardo"/>
    <n v="44843"/>
    <n v="0"/>
    <n v="0"/>
    <s v="D√©bito"/>
    <s v="En Caja Operacional"/>
    <n v="141847"/>
    <m/>
    <n v="44843"/>
    <n v="37683.193277310929"/>
  </r>
  <r>
    <s v="Geronimo Mendez"/>
    <n v="220790"/>
    <d v="2025-12-18T13:14:03"/>
    <s v="76297433-9"/>
    <s v="HERNAN GONZALEZ C. REP AUTOMOTRICES EIRL"/>
    <x v="4"/>
    <s v="Contraloria"/>
    <s v="Selene"/>
    <n v="200000"/>
    <n v="0"/>
    <n v="0"/>
    <s v="Efectivo"/>
    <s v="En Caja Operacional"/>
    <m/>
    <m/>
    <n v="90000"/>
    <n v="75630.252100840342"/>
  </r>
  <r>
    <s v="Geronimo Mendez"/>
    <n v="220790"/>
    <d v="2025-12-18T13:14:03"/>
    <s v="76297433-9"/>
    <s v="HERNAN GONZALEZ C. REP AUTOMOTRICES EIRL"/>
    <x v="4"/>
    <s v="Contraloria"/>
    <s v="Selene"/>
    <n v="200000"/>
    <n v="0"/>
    <n v="0"/>
    <s v="Transferencia"/>
    <s v="En Caja Operacional"/>
    <n v="275547"/>
    <m/>
    <n v="110000"/>
    <n v="92436.97478991597"/>
  </r>
  <r>
    <s v="Geronimo Mendez"/>
    <n v="220789"/>
    <d v="2025-12-18T13:12:32"/>
    <s v="74819500-9"/>
    <s v="SINDICATO DE DUENOS IND. TAXIS COL. L-24"/>
    <x v="4"/>
    <s v="Contraloria"/>
    <s v="Selene"/>
    <n v="478448"/>
    <n v="0"/>
    <n v="0"/>
    <s v="Cheque"/>
    <s v="En Caja Operacional"/>
    <n v="869"/>
    <d v="2025-12-12T00:00:00"/>
    <n v="478448"/>
    <n v="402057.1428571429"/>
  </r>
  <r>
    <s v="Geronimo Mendez"/>
    <n v="220788"/>
    <d v="2025-12-18T13:10:40"/>
    <s v="7991017-1"/>
    <s v="RICARDO PE√ëA"/>
    <x v="4"/>
    <s v="Contraloria"/>
    <s v="Selene"/>
    <n v="316570"/>
    <n v="0"/>
    <n v="1"/>
    <s v="Transferencia"/>
    <s v="En Caja Operacional"/>
    <n v="275545"/>
    <m/>
    <n v="316570"/>
    <n v="266025.21008403361"/>
  </r>
  <r>
    <s v="Geronimo Mendez"/>
    <n v="220787"/>
    <d v="2025-12-18T13:09:48"/>
    <s v="17491548-2"/>
    <s v="RUBEN FERNANDEZ"/>
    <x v="4"/>
    <s v="Contraloria"/>
    <s v="Selene"/>
    <n v="486452"/>
    <n v="0"/>
    <n v="0"/>
    <s v="Transferencia"/>
    <s v="En Caja Operacional"/>
    <n v="275544"/>
    <m/>
    <n v="486452"/>
    <n v="408783.19327731093"/>
  </r>
  <r>
    <s v="Geronimo Mendez"/>
    <n v="220786"/>
    <d v="2025-12-18T13:08:46"/>
    <s v="77519341-7"/>
    <s v="AUTOMOTRIZ CARLA DANIELA SILVA SPA"/>
    <x v="4"/>
    <s v="Contraloria"/>
    <s v="Selene"/>
    <n v="135088"/>
    <n v="0"/>
    <n v="0"/>
    <s v="Transferencia"/>
    <s v="En Caja Operacional"/>
    <n v="275543"/>
    <m/>
    <n v="135088"/>
    <n v="113519.32773109245"/>
  </r>
  <r>
    <s v="Geronimo Mendez"/>
    <n v="220785"/>
    <d v="2025-12-18T13:06:21"/>
    <s v="76284404-4"/>
    <s v="CLAUDIO ELSON SANTOS YAVAR VELSA LUBRICANTES E I R L"/>
    <x v="4"/>
    <s v="Contraloria"/>
    <s v="Selene"/>
    <n v="3089690"/>
    <n v="0"/>
    <n v="1"/>
    <s v="Cheque"/>
    <s v="En Caja Operacional"/>
    <n v="3691"/>
    <d v="2025-11-29T00:00:00"/>
    <n v="3089690"/>
    <n v="2596378.1512605045"/>
  </r>
  <r>
    <s v="Geronimo Mendez"/>
    <n v="220784"/>
    <d v="2025-12-18T13:02:56"/>
    <s v="6276438-4"/>
    <s v="IVAR TORRES"/>
    <x v="8"/>
    <s v="Ventas Local"/>
    <s v="Maiko"/>
    <n v="63758"/>
    <n v="0"/>
    <n v="0"/>
    <s v="D√©bito"/>
    <s v="En Caja Operacional"/>
    <n v="226091"/>
    <m/>
    <n v="63758"/>
    <n v="53578.151260504201"/>
  </r>
  <r>
    <s v="Linares"/>
    <n v="220783"/>
    <d v="2025-12-18T13:02:09"/>
    <s v="66666666-6"/>
    <s v="Cliente LINARES Generico"/>
    <x v="1"/>
    <s v="Linares"/>
    <s v="Eduardo"/>
    <n v="56787"/>
    <n v="0"/>
    <n v="0"/>
    <s v="Efectivo"/>
    <s v="En Caja Operacional"/>
    <m/>
    <m/>
    <n v="56787"/>
    <n v="47720.168067226892"/>
  </r>
  <r>
    <s v="Geronimo Mendez"/>
    <n v="220782"/>
    <d v="2025-12-18T13:00:11"/>
    <s v="12841173-9"/>
    <s v="MICHAEL ALEJANDRO RICHARDS"/>
    <x v="4"/>
    <s v="Contraloria"/>
    <s v="Selene"/>
    <n v="108298"/>
    <n v="0"/>
    <n v="0"/>
    <s v="Transferencia"/>
    <s v="En Caja Operacional"/>
    <n v="275541"/>
    <m/>
    <n v="108298"/>
    <n v="91006.722689075628"/>
  </r>
  <r>
    <s v="Geronimo Mendez"/>
    <n v="220781"/>
    <d v="2025-12-18T12:59:08"/>
    <s v="77715777-9"/>
    <s v="INVERSIONES SRG SPA"/>
    <x v="4"/>
    <s v="Contraloria"/>
    <s v="Selene"/>
    <n v="564707"/>
    <n v="0"/>
    <n v="0"/>
    <s v="Transferencia"/>
    <s v="En Caja Operacional"/>
    <n v="275540"/>
    <m/>
    <n v="564707"/>
    <n v="474543.69747899164"/>
  </r>
  <r>
    <s v="Geronimo Mendez"/>
    <n v="220779"/>
    <d v="2025-12-18T12:58:22"/>
    <s v="11537174-6"/>
    <s v="JUAN CARTES"/>
    <x v="4"/>
    <s v="Contraloria"/>
    <s v="Selene"/>
    <n v="1167294"/>
    <n v="0"/>
    <n v="0"/>
    <s v="Cheque"/>
    <s v="En Caja Operacional"/>
    <n v="2432233"/>
    <d v="2026-01-12T00:00:00"/>
    <n v="390000"/>
    <n v="327731.09243697481"/>
  </r>
  <r>
    <s v="Geronimo Mendez"/>
    <n v="220779"/>
    <d v="2025-12-18T12:58:22"/>
    <s v="11537174-6"/>
    <s v="JUAN CARTES"/>
    <x v="4"/>
    <s v="Contraloria"/>
    <s v="Selene"/>
    <n v="1167294"/>
    <n v="0"/>
    <n v="0"/>
    <s v="Cheque"/>
    <s v="En Caja Operacional"/>
    <n v="2432234"/>
    <d v="2026-02-09T00:00:00"/>
    <n v="390000"/>
    <n v="327731.09243697481"/>
  </r>
  <r>
    <s v="Geronimo Mendez"/>
    <n v="220779"/>
    <d v="2025-12-18T12:58:22"/>
    <s v="11537174-6"/>
    <s v="JUAN CARTES"/>
    <x v="4"/>
    <s v="Contraloria"/>
    <s v="Selene"/>
    <n v="1167294"/>
    <n v="0"/>
    <n v="0"/>
    <s v="Cheque"/>
    <s v="En Caja Operacional"/>
    <n v="2432235"/>
    <d v="2026-02-28T00:00:00"/>
    <n v="387294"/>
    <n v="325457.1428571429"/>
  </r>
  <r>
    <s v="Geronimo Mendez"/>
    <n v="220778"/>
    <d v="2025-12-18T12:54:46"/>
    <s v="79648980-4"/>
    <s v="SOC COMERCIAL DELARD Y COMPANIA LIMITADA"/>
    <x v="4"/>
    <s v="Contraloria"/>
    <s v="Selene"/>
    <n v="1361573"/>
    <n v="0"/>
    <n v="0"/>
    <s v="Cheque"/>
    <s v="En Caja Operacional"/>
    <n v="525477"/>
    <d v="2026-01-29T00:00:00"/>
    <n v="1361573"/>
    <n v="1144178.9915966387"/>
  </r>
  <r>
    <s v="Geronimo Mendez"/>
    <n v="220777"/>
    <d v="2025-12-18T12:51:46"/>
    <s v="3376926-1"/>
    <s v="EDGARDO ASTUDILLO"/>
    <x v="4"/>
    <s v="Contraloria"/>
    <s v="Selene"/>
    <n v="1956942"/>
    <n v="0"/>
    <n v="0"/>
    <s v="Cheque"/>
    <s v="En Caja Operacional"/>
    <n v="6093"/>
    <d v="2025-12-20T00:00:00"/>
    <n v="1632622"/>
    <n v="1371951.2605042018"/>
  </r>
  <r>
    <s v="Geronimo Mendez"/>
    <n v="220777"/>
    <d v="2025-12-18T12:51:46"/>
    <s v="3376926-1"/>
    <s v="EDGARDO ASTUDILLO"/>
    <x v="4"/>
    <s v="Contraloria"/>
    <s v="Selene"/>
    <n v="1956942"/>
    <n v="0"/>
    <n v="0"/>
    <s v="Cheque"/>
    <s v="En Caja Operacional"/>
    <n v="2127245"/>
    <d v="2025-12-10T00:00:00"/>
    <n v="324320"/>
    <n v="272537.81512605044"/>
  </r>
  <r>
    <s v="Geronimo Mendez"/>
    <n v="220776"/>
    <d v="2025-12-18T12:47:19"/>
    <s v="8080354-0"/>
    <s v="CARLOS TAPIA"/>
    <x v="4"/>
    <s v="Contraloria"/>
    <s v="Selene"/>
    <n v="276861"/>
    <n v="0"/>
    <n v="0"/>
    <s v="Cheque"/>
    <s v="En Caja Operacional"/>
    <n v="4591122"/>
    <d v="2026-01-20T00:00:00"/>
    <n v="138430"/>
    <n v="116327.73109243698"/>
  </r>
  <r>
    <s v="Geronimo Mendez"/>
    <n v="220776"/>
    <d v="2025-12-18T12:47:19"/>
    <s v="8080354-0"/>
    <s v="CARLOS TAPIA"/>
    <x v="4"/>
    <s v="Contraloria"/>
    <s v="Selene"/>
    <n v="276861"/>
    <n v="0"/>
    <n v="0"/>
    <s v="Cheque"/>
    <s v="En Caja Operacional"/>
    <n v="4591123"/>
    <d v="2026-02-20T00:00:00"/>
    <n v="138431"/>
    <n v="116328.57142857143"/>
  </r>
  <r>
    <s v="Geronimo Mendez"/>
    <n v="220775"/>
    <d v="2025-12-18T12:45:17"/>
    <s v="9210869-4"/>
    <s v="CARLOS OLIVARES"/>
    <x v="4"/>
    <s v="Contraloria"/>
    <s v="Selene"/>
    <n v="530053"/>
    <n v="0"/>
    <n v="0"/>
    <s v="Dep√≥sito"/>
    <s v="En Caja Operacional"/>
    <n v="2311941"/>
    <m/>
    <n v="530053"/>
    <n v="445422.68907563027"/>
  </r>
  <r>
    <s v="Geronimo Mendez"/>
    <n v="220774"/>
    <d v="2025-12-18T12:44:04"/>
    <s v="4910363-8"/>
    <s v="HECTOR FREDES"/>
    <x v="4"/>
    <s v="Contraloria"/>
    <s v="Selene"/>
    <n v="10000"/>
    <n v="0"/>
    <n v="0"/>
    <s v="Efectivo"/>
    <s v="En Caja Operacional"/>
    <m/>
    <m/>
    <n v="10000"/>
    <n v="8403.361344537816"/>
  </r>
  <r>
    <s v="Geronimo Mendez"/>
    <n v="220773"/>
    <d v="2025-12-18T12:43:17"/>
    <s v="9258551-4"/>
    <s v="VERONICA DEL CARMEN  PADILLA"/>
    <x v="4"/>
    <s v="Contraloria"/>
    <s v="Selene"/>
    <n v="2790417"/>
    <n v="0"/>
    <n v="0"/>
    <s v="Cheque"/>
    <s v="En Caja Operacional"/>
    <n v="2449691"/>
    <d v="2026-01-11T00:00:00"/>
    <n v="560000"/>
    <n v="470588.23529411765"/>
  </r>
  <r>
    <s v="Geronimo Mendez"/>
    <n v="220773"/>
    <d v="2025-12-18T12:43:17"/>
    <s v="9258551-4"/>
    <s v="VERONICA DEL CARMEN  PADILLA"/>
    <x v="4"/>
    <s v="Contraloria"/>
    <s v="Selene"/>
    <n v="2790417"/>
    <n v="0"/>
    <n v="0"/>
    <s v="Cheque"/>
    <s v="En Caja Operacional"/>
    <n v="2449692"/>
    <d v="2026-02-11T00:00:00"/>
    <n v="560000"/>
    <n v="470588.23529411765"/>
  </r>
  <r>
    <s v="Geronimo Mendez"/>
    <n v="220773"/>
    <d v="2025-12-18T12:43:17"/>
    <s v="9258551-4"/>
    <s v="VERONICA DEL CARMEN  PADILLA"/>
    <x v="4"/>
    <s v="Contraloria"/>
    <s v="Selene"/>
    <n v="2790417"/>
    <n v="0"/>
    <n v="0"/>
    <s v="Cheque"/>
    <s v="En Caja Operacional"/>
    <n v="2449693"/>
    <d v="2026-03-11T00:00:00"/>
    <n v="560000"/>
    <n v="470588.23529411765"/>
  </r>
  <r>
    <s v="Geronimo Mendez"/>
    <n v="220773"/>
    <d v="2025-12-18T12:43:17"/>
    <s v="9258551-4"/>
    <s v="VERONICA DEL CARMEN  PADILLA"/>
    <x v="4"/>
    <s v="Contraloria"/>
    <s v="Selene"/>
    <n v="2790417"/>
    <n v="0"/>
    <n v="0"/>
    <s v="Cheque"/>
    <s v="En Caja Operacional"/>
    <n v="2449694"/>
    <d v="2026-04-11T00:00:00"/>
    <n v="550417"/>
    <n v="462535.29411764711"/>
  </r>
  <r>
    <s v="Geronimo Mendez"/>
    <n v="220773"/>
    <d v="2025-12-18T12:43:17"/>
    <s v="9258551-4"/>
    <s v="VERONICA DEL CARMEN  PADILLA"/>
    <x v="4"/>
    <s v="Contraloria"/>
    <s v="Selene"/>
    <n v="2790417"/>
    <n v="0"/>
    <n v="0"/>
    <s v="Cheque"/>
    <s v="En Caja Operacional"/>
    <n v="2449690"/>
    <d v="2025-12-11T00:00:00"/>
    <n v="560000"/>
    <n v="470588.23529411765"/>
  </r>
  <r>
    <s v="Rojas Magallanes"/>
    <n v="220772"/>
    <d v="2025-12-18T12:40:13"/>
    <s v="66666666-6"/>
    <s v="Cliente ROJAS MAGALLANES Generico"/>
    <x v="5"/>
    <s v="Rojas Magallanes"/>
    <s v="Cristian"/>
    <n v="75010"/>
    <n v="0"/>
    <n v="0"/>
    <s v="Cr√©dito"/>
    <s v="En Caja Operacional"/>
    <n v="540174"/>
    <m/>
    <n v="75010"/>
    <n v="63033.613445378156"/>
  </r>
  <r>
    <s v="Geronimo Mendez"/>
    <n v="220771"/>
    <d v="2025-12-18T12:39:36"/>
    <s v="77711816-1"/>
    <s v="LUBRICENTRO RG SPA"/>
    <x v="4"/>
    <s v="Contraloria"/>
    <s v="Selene"/>
    <n v="309071"/>
    <n v="0"/>
    <n v="4"/>
    <s v="Cheque"/>
    <s v="En Caja Operacional"/>
    <n v="9449164"/>
    <d v="2026-01-09T00:00:00"/>
    <n v="103022"/>
    <n v="86573.109243697487"/>
  </r>
  <r>
    <s v="Geronimo Mendez"/>
    <n v="220771"/>
    <d v="2025-12-18T12:39:36"/>
    <s v="77711816-1"/>
    <s v="LUBRICENTRO RG SPA"/>
    <x v="4"/>
    <s v="Contraloria"/>
    <s v="Selene"/>
    <n v="309071"/>
    <n v="0"/>
    <n v="4"/>
    <s v="Cheque"/>
    <s v="En Caja Operacional"/>
    <n v="9449165"/>
    <d v="2026-02-09T00:00:00"/>
    <n v="103022"/>
    <n v="86573.109243697487"/>
  </r>
  <r>
    <s v="Geronimo Mendez"/>
    <n v="220771"/>
    <d v="2025-12-18T12:39:36"/>
    <s v="77711816-1"/>
    <s v="LUBRICENTRO RG SPA"/>
    <x v="4"/>
    <s v="Contraloria"/>
    <s v="Selene"/>
    <n v="309071"/>
    <n v="0"/>
    <n v="4"/>
    <s v="Cheque"/>
    <s v="En Caja Operacional"/>
    <n v="9449166"/>
    <d v="2026-03-09T00:00:00"/>
    <n v="103027"/>
    <n v="86577.310924369755"/>
  </r>
  <r>
    <s v="Geronimo Mendez"/>
    <n v="220770"/>
    <d v="2025-12-18T12:38:23"/>
    <s v="76403917-3"/>
    <s v="COMERCIO GUIDO P ROBLES GOMEZ EIRL"/>
    <x v="8"/>
    <s v="Ventas Local"/>
    <s v="Maiko"/>
    <n v="422245"/>
    <n v="0"/>
    <n v="0"/>
    <s v="Efectivo"/>
    <s v="En Caja Operacional"/>
    <m/>
    <m/>
    <n v="422245"/>
    <n v="354827.731092437"/>
  </r>
  <r>
    <s v="Antillanca"/>
    <n v="220769"/>
    <d v="2025-12-18T12:37:43"/>
    <s v="76109093-3"/>
    <s v="TRANSPORTES RADAL LIMITADA"/>
    <x v="13"/>
    <s v="Antillanca"/>
    <s v="Nataly"/>
    <n v="361760"/>
    <n v="0"/>
    <n v="0"/>
    <s v="Transferencia"/>
    <s v="En Caja Operacional"/>
    <n v="240"/>
    <m/>
    <n v="361760"/>
    <n v="304000"/>
  </r>
  <r>
    <s v="Geronimo Mendez"/>
    <n v="220768"/>
    <d v="2025-12-18T12:24:39"/>
    <s v="18041078-3"/>
    <s v="JAVIER IGNACIO  ILABACA"/>
    <x v="8"/>
    <s v="Ventas Local"/>
    <s v="Maiko"/>
    <n v="372513"/>
    <n v="0"/>
    <n v="0"/>
    <s v="Efectivo"/>
    <s v="En Caja Operacional"/>
    <m/>
    <m/>
    <n v="347519"/>
    <n v="292032.77310924372"/>
  </r>
  <r>
    <s v="Geronimo Mendez"/>
    <n v="220768"/>
    <d v="2025-12-18T12:24:39"/>
    <s v="18041078-3"/>
    <s v="JAVIER IGNACIO  ILABACA"/>
    <x v="8"/>
    <s v="Ventas Local"/>
    <s v="Maiko"/>
    <n v="372513"/>
    <n v="0"/>
    <n v="0"/>
    <s v="Transferencia"/>
    <s v="En Caja Operacional"/>
    <n v="202"/>
    <m/>
    <n v="14994"/>
    <n v="12600"/>
  </r>
  <r>
    <s v="Geronimo Mendez"/>
    <n v="220768"/>
    <d v="2025-12-18T12:24:39"/>
    <s v="18041078-3"/>
    <s v="JAVIER IGNACIO  ILABACA"/>
    <x v="8"/>
    <s v="Ventas Local"/>
    <s v="Maiko"/>
    <n v="372513"/>
    <n v="0"/>
    <n v="0"/>
    <s v="D√©bito"/>
    <s v="En Caja Operacional"/>
    <n v="9672"/>
    <m/>
    <n v="10000"/>
    <n v="8403.361344537816"/>
  </r>
  <r>
    <s v="Linares"/>
    <n v="220767"/>
    <d v="2025-12-18T12:18:08"/>
    <s v="66666666-6"/>
    <s v="Cliente LINARES Generico"/>
    <x v="1"/>
    <s v="Linares"/>
    <s v="Eduardo"/>
    <n v="37072"/>
    <n v="0"/>
    <n v="0"/>
    <s v="Efectivo"/>
    <s v="En Caja Operacional"/>
    <m/>
    <m/>
    <n v="37072"/>
    <n v="31152.941176470591"/>
  </r>
  <r>
    <s v="Geronimo Mendez"/>
    <n v="220766"/>
    <d v="2025-12-18T11:48:05"/>
    <s v="14115831-7"/>
    <s v="ROBERTO ALVAREZ"/>
    <x v="4"/>
    <s v="Contraloria"/>
    <s v="Selene"/>
    <n v="207959"/>
    <n v="0"/>
    <n v="0"/>
    <s v="Cheque"/>
    <s v="En Caja Operacional"/>
    <n v="9328682"/>
    <d v="2026-01-10T00:00:00"/>
    <n v="207959"/>
    <n v="174755.46218487396"/>
  </r>
  <r>
    <s v="Geronimo Mendez"/>
    <n v="220765"/>
    <d v="2025-12-18T11:45:01"/>
    <s v="76026604-3"/>
    <s v="CARVAJAL HERMANOS LTDA"/>
    <x v="4"/>
    <s v="Contraloria"/>
    <s v="Selene"/>
    <n v="1176826"/>
    <n v="0"/>
    <n v="0"/>
    <s v="Cheque"/>
    <s v="En Caja Operacional"/>
    <n v="9454793"/>
    <d v="2026-01-14T00:00:00"/>
    <n v="392275"/>
    <n v="329642.85714285716"/>
  </r>
  <r>
    <s v="Geronimo Mendez"/>
    <n v="220765"/>
    <d v="2025-12-18T11:45:01"/>
    <s v="76026604-3"/>
    <s v="CARVAJAL HERMANOS LTDA"/>
    <x v="4"/>
    <s v="Contraloria"/>
    <s v="Selene"/>
    <n v="1176826"/>
    <n v="0"/>
    <n v="0"/>
    <s v="Cheque"/>
    <s v="En Caja Operacional"/>
    <n v="9454794"/>
    <d v="2026-02-14T00:00:00"/>
    <n v="392275"/>
    <n v="329642.85714285716"/>
  </r>
  <r>
    <s v="Geronimo Mendez"/>
    <n v="220765"/>
    <d v="2025-12-18T11:45:01"/>
    <s v="76026604-3"/>
    <s v="CARVAJAL HERMANOS LTDA"/>
    <x v="4"/>
    <s v="Contraloria"/>
    <s v="Selene"/>
    <n v="1176826"/>
    <n v="0"/>
    <n v="0"/>
    <s v="Cheque"/>
    <s v="En Caja Operacional"/>
    <n v="9454795"/>
    <d v="2026-03-14T00:00:00"/>
    <n v="392276"/>
    <n v="329643.69747899158"/>
  </r>
  <r>
    <s v="Geronimo Mendez"/>
    <n v="220764"/>
    <d v="2025-12-18T11:42:23"/>
    <s v="76291402-6"/>
    <s v="JEANNETTE OLIVARES V. E HIJA LTDA"/>
    <x v="4"/>
    <s v="Contraloria"/>
    <s v="Selene"/>
    <n v="213269"/>
    <n v="0"/>
    <n v="0"/>
    <s v="Cheque"/>
    <s v="En Caja Operacional"/>
    <n v="6402792"/>
    <d v="2025-12-30T00:00:00"/>
    <n v="106634"/>
    <n v="89608.403361344535"/>
  </r>
  <r>
    <s v="Geronimo Mendez"/>
    <n v="220764"/>
    <d v="2025-12-18T11:42:23"/>
    <s v="76291402-6"/>
    <s v="JEANNETTE OLIVARES V. E HIJA LTDA"/>
    <x v="4"/>
    <s v="Contraloria"/>
    <s v="Selene"/>
    <n v="213269"/>
    <n v="0"/>
    <n v="0"/>
    <s v="Cheque"/>
    <s v="En Caja Operacional"/>
    <n v="6402793"/>
    <d v="2026-01-30T00:00:00"/>
    <n v="106635"/>
    <n v="89609.243697478989"/>
  </r>
  <r>
    <s v="Geronimo Mendez"/>
    <n v="220763"/>
    <d v="2025-12-18T11:40:35"/>
    <s v="77941898-7"/>
    <s v="COMERCIAL E INVERSIONES NUEVA AURORA SPA"/>
    <x v="4"/>
    <s v="Contraloria"/>
    <s v="Selene"/>
    <n v="1291221"/>
    <n v="0"/>
    <n v="0"/>
    <s v="Transferencia"/>
    <s v="En Caja Operacional"/>
    <n v="275536"/>
    <m/>
    <n v="1291221"/>
    <n v="1085059.6638655462"/>
  </r>
  <r>
    <s v="Geronimo Mendez"/>
    <n v="220762"/>
    <d v="2025-12-18T11:39:32"/>
    <s v="76959711-5"/>
    <s v="ANA GONZALEZ MORENO TRANSPORTE EIRL"/>
    <x v="4"/>
    <s v="Contraloria"/>
    <s v="Selene"/>
    <n v="500000"/>
    <n v="0"/>
    <n v="0"/>
    <s v="Transferencia"/>
    <s v="En Caja Operacional"/>
    <n v="275535"/>
    <m/>
    <n v="500000"/>
    <n v="420168.06722689077"/>
  </r>
  <r>
    <s v="Geronimo Mendez"/>
    <n v="220761"/>
    <d v="2025-12-18T11:38:59"/>
    <s v="8528369-3"/>
    <s v="MARIO PARRA"/>
    <x v="4"/>
    <s v="Contraloria"/>
    <s v="Selene"/>
    <n v="200000"/>
    <n v="0"/>
    <n v="0"/>
    <s v="Transferencia"/>
    <s v="En Caja Operacional"/>
    <n v="275531"/>
    <m/>
    <n v="200000"/>
    <n v="168067.22689075631"/>
  </r>
  <r>
    <s v="Geronimo Mendez"/>
    <n v="220760"/>
    <d v="2025-12-18T11:36:44"/>
    <s v="12803010-7"/>
    <s v="ALFREDO LOPEZ"/>
    <x v="4"/>
    <s v="Contraloria"/>
    <s v="Selene"/>
    <n v="1040222"/>
    <n v="0"/>
    <n v="0"/>
    <s v="Transferencia"/>
    <s v="En Caja Operacional"/>
    <n v="275532"/>
    <m/>
    <n v="1040222"/>
    <n v="874136.13445378153"/>
  </r>
  <r>
    <s v="Geronimo Mendez"/>
    <n v="220759"/>
    <d v="2025-12-18T11:30:45"/>
    <s v="9132885-2"/>
    <s v="NELLY PEREZ"/>
    <x v="4"/>
    <s v="Contraloria"/>
    <s v="Selene"/>
    <n v="437052"/>
    <n v="0"/>
    <n v="0"/>
    <s v="Transferencia"/>
    <s v="En Caja Operacional"/>
    <n v="275534"/>
    <m/>
    <n v="435052"/>
    <n v="365589.91596638656"/>
  </r>
  <r>
    <s v="Geronimo Mendez"/>
    <n v="220759"/>
    <d v="2025-12-18T11:30:45"/>
    <s v="9132885-2"/>
    <s v="NELLY PEREZ"/>
    <x v="4"/>
    <s v="Contraloria"/>
    <s v="Selene"/>
    <n v="437052"/>
    <n v="0"/>
    <n v="0"/>
    <s v="Transferencia"/>
    <s v="En Caja Operacional"/>
    <n v="275534"/>
    <m/>
    <n v="2000"/>
    <n v="1680.6722689075632"/>
  </r>
  <r>
    <s v="Geronimo Mendez"/>
    <n v="220758"/>
    <d v="2025-12-18T11:29:23"/>
    <s v="13759949-K"/>
    <s v="MANUEL JESUS ESPINOZA"/>
    <x v="4"/>
    <s v="Contraloria"/>
    <s v="Selene"/>
    <n v="200000"/>
    <n v="0"/>
    <n v="0"/>
    <s v="Transferencia"/>
    <s v="En Caja Operacional"/>
    <n v="275522"/>
    <m/>
    <n v="200000"/>
    <n v="168067.22689075631"/>
  </r>
  <r>
    <s v="Geronimo Mendez"/>
    <n v="220757"/>
    <d v="2025-12-18T11:28:35"/>
    <s v="77247588-8"/>
    <s v="IMPORTADORA Y COMERCIALIZADORA ELECTROCAR SPA"/>
    <x v="4"/>
    <s v="Contraloria"/>
    <s v="Selene"/>
    <n v="216142"/>
    <n v="0"/>
    <n v="0"/>
    <s v="Transferencia"/>
    <s v="En Caja Operacional"/>
    <n v="275552"/>
    <m/>
    <n v="216142"/>
    <n v="181631.93277310926"/>
  </r>
  <r>
    <s v="Geronimo Mendez"/>
    <n v="220756"/>
    <d v="2025-12-18T11:27:26"/>
    <s v="77320063-7"/>
    <s v="YACAR SPA"/>
    <x v="4"/>
    <s v="Contraloria"/>
    <s v="Selene"/>
    <n v="204204"/>
    <n v="0"/>
    <n v="0"/>
    <s v="Transferencia"/>
    <s v="En Caja Operacional"/>
    <n v="275554"/>
    <m/>
    <n v="204204"/>
    <n v="171600"/>
  </r>
  <r>
    <s v="Geronimo Mendez"/>
    <n v="220755"/>
    <d v="2025-12-18T11:18:14"/>
    <s v="15052081-9"/>
    <s v="WILLIAMS ALEXIS CARVAJAL"/>
    <x v="4"/>
    <s v="Contraloria"/>
    <s v="Selene"/>
    <n v="131942"/>
    <n v="0"/>
    <n v="0"/>
    <s v="Transferencia"/>
    <s v="En Caja Operacional"/>
    <n v="275553"/>
    <m/>
    <n v="131942"/>
    <n v="110875.63025210085"/>
  </r>
  <r>
    <s v="Geronimo Mendez"/>
    <n v="220754"/>
    <d v="2025-12-18T11:16:33"/>
    <s v="26985013-2"/>
    <s v="MARIA FERNANDA PARRA"/>
    <x v="2"/>
    <s v="Contraloria"/>
    <s v="Selene"/>
    <n v="953912"/>
    <n v="0"/>
    <n v="0"/>
    <s v="Transferencia"/>
    <s v="En Caja Operacional"/>
    <n v="275375"/>
    <m/>
    <n v="200000"/>
    <n v="168067.22689075631"/>
  </r>
  <r>
    <s v="Geronimo Mendez"/>
    <n v="220754"/>
    <d v="2025-12-18T11:16:33"/>
    <s v="26985013-2"/>
    <s v="MARIA FERNANDA PARRA"/>
    <x v="2"/>
    <s v="Contraloria"/>
    <s v="Selene"/>
    <n v="953912"/>
    <n v="0"/>
    <n v="0"/>
    <s v="Transferencia"/>
    <s v="En Caja Operacional"/>
    <n v="275375"/>
    <m/>
    <n v="300000"/>
    <n v="252100.84033613445"/>
  </r>
  <r>
    <s v="Geronimo Mendez"/>
    <n v="220754"/>
    <d v="2025-12-18T11:16:33"/>
    <s v="26985013-2"/>
    <s v="MARIA FERNANDA PARRA"/>
    <x v="2"/>
    <s v="Contraloria"/>
    <s v="Selene"/>
    <n v="953912"/>
    <n v="0"/>
    <n v="0"/>
    <s v="Transferencia"/>
    <s v="En Caja Operacional"/>
    <n v="275375"/>
    <m/>
    <n v="220060"/>
    <n v="184924.36974789918"/>
  </r>
  <r>
    <s v="Geronimo Mendez"/>
    <n v="220754"/>
    <d v="2025-12-18T11:16:33"/>
    <s v="26985013-2"/>
    <s v="MARIA FERNANDA PARRA"/>
    <x v="2"/>
    <s v="Contraloria"/>
    <s v="Selene"/>
    <n v="953912"/>
    <n v="0"/>
    <n v="0"/>
    <s v="Transferencia"/>
    <s v="En Caja Operacional"/>
    <n v="275386"/>
    <m/>
    <n v="233852"/>
    <n v="196514.28571428571"/>
  </r>
  <r>
    <s v="Antillanca"/>
    <n v="220753"/>
    <d v="2025-12-18T10:47:55"/>
    <s v="76048137-8"/>
    <s v="COMERCIAL HIDROMAC LIMITADA"/>
    <x v="10"/>
    <s v="Antillanca"/>
    <s v="Nataly"/>
    <n v="107440"/>
    <n v="0"/>
    <n v="0"/>
    <s v="Transferencia"/>
    <s v="En Caja Operacional"/>
    <n v="239"/>
    <m/>
    <n v="107440"/>
    <n v="90285.71428571429"/>
  </r>
  <r>
    <s v="Geronimo Mendez"/>
    <n v="220752"/>
    <d v="2025-12-18T10:36:59"/>
    <s v="7466024-K"/>
    <s v="RAUL CARMONA"/>
    <x v="0"/>
    <s v="Ventas Local"/>
    <s v="Maiko"/>
    <n v="448482"/>
    <n v="0"/>
    <n v="0"/>
    <s v="Cheque"/>
    <s v="En Caja Operacional"/>
    <n v="1025"/>
    <d v="2025-12-31T00:00:00"/>
    <n v="224241"/>
    <n v="188437.81512605044"/>
  </r>
  <r>
    <s v="Geronimo Mendez"/>
    <n v="220752"/>
    <d v="2025-12-18T10:36:59"/>
    <s v="7466024-K"/>
    <s v="RAUL CARMONA"/>
    <x v="0"/>
    <s v="Ventas Local"/>
    <s v="Maiko"/>
    <n v="448482"/>
    <n v="0"/>
    <n v="0"/>
    <s v="Cheque"/>
    <s v="En Caja Operacional"/>
    <n v="1026"/>
    <d v="2026-01-31T00:00:00"/>
    <n v="224241"/>
    <n v="188437.81512605044"/>
  </r>
  <r>
    <s v="Ovalle"/>
    <n v="220751"/>
    <d v="2025-12-18T10:33:14"/>
    <s v="12569531-0"/>
    <s v="EMILIO SANTOS"/>
    <x v="6"/>
    <s v="Ovalle"/>
    <s v="Emilio"/>
    <n v="112812"/>
    <n v="0"/>
    <n v="0"/>
    <s v="Efectivo"/>
    <s v="En Caja Operacional"/>
    <m/>
    <m/>
    <n v="112812"/>
    <n v="94800"/>
  </r>
  <r>
    <s v="Linares"/>
    <n v="220750"/>
    <d v="2025-12-18T10:18:58"/>
    <s v="66666666-6"/>
    <s v="Cliente LINARES Generico"/>
    <x v="1"/>
    <s v="Linares"/>
    <s v="Eduardo"/>
    <n v="38041"/>
    <n v="0"/>
    <n v="0"/>
    <s v="Efectivo"/>
    <s v="En Caja Operacional"/>
    <m/>
    <m/>
    <n v="38041"/>
    <n v="31967.226890756305"/>
  </r>
  <r>
    <s v="Geronimo Mendez"/>
    <n v="220749"/>
    <d v="2025-12-18T10:17:45"/>
    <s v="76335362-1"/>
    <s v="SOC. TRANS. Y GRUAS JORGE CONTADOR LTDA."/>
    <x v="8"/>
    <s v="Ventas Local"/>
    <s v="SoporteVenta"/>
    <n v="263638"/>
    <n v="0"/>
    <n v="0"/>
    <s v="Transferencia"/>
    <s v="En Caja Operacional"/>
    <n v="154"/>
    <m/>
    <n v="263638"/>
    <n v="221544.53781512607"/>
  </r>
  <r>
    <s v="Geronimo Mendez"/>
    <n v="220748"/>
    <d v="2025-12-18T10:10:00"/>
    <s v="79575680-9"/>
    <s v="COMARA LTDA."/>
    <x v="4"/>
    <s v="Ventas Local"/>
    <s v="SoporteVenta"/>
    <n v="434096"/>
    <n v="0"/>
    <n v="0"/>
    <s v="Transferencia"/>
    <s v="En Caja Operacional"/>
    <n v="275746"/>
    <m/>
    <n v="434096"/>
    <n v="364786.55462184874"/>
  </r>
  <r>
    <s v="Rojas Magallanes"/>
    <n v="220747"/>
    <d v="2025-12-18T10:03:59"/>
    <s v="66666666-6"/>
    <s v="Cliente ROJAS MAGALLANES Generico"/>
    <x v="5"/>
    <s v="Rojas Magallanes"/>
    <s v="Marisol"/>
    <n v="30836"/>
    <n v="0"/>
    <n v="0"/>
    <s v="Cr√©dito"/>
    <s v="En Caja Operacional"/>
    <n v="248706"/>
    <m/>
    <n v="30836"/>
    <n v="25912.605042016807"/>
  </r>
  <r>
    <s v="Rojas Magallanes"/>
    <n v="220746"/>
    <d v="2025-12-18T09:50:53"/>
    <s v="66666666-6"/>
    <s v="Cliente ROJAS MAGALLANES Generico"/>
    <x v="5"/>
    <s v="Rojas Magallanes"/>
    <s v="Cristian"/>
    <n v="6510"/>
    <n v="0"/>
    <n v="3"/>
    <s v="D√©bito"/>
    <s v="En Caja Operacional"/>
    <n v="7443"/>
    <m/>
    <n v="6510"/>
    <n v="5470.588235294118"/>
  </r>
  <r>
    <s v="Geronimo Mendez"/>
    <n v="220745"/>
    <d v="2025-12-18T09:50:23"/>
    <s v="77603917-9"/>
    <s v="METAINER SPA"/>
    <x v="14"/>
    <s v="Ventas Local"/>
    <s v="SoporteVenta"/>
    <n v="245990"/>
    <n v="0"/>
    <n v="0"/>
    <s v="Transferencia"/>
    <s v="En Caja Operacional"/>
    <n v="229"/>
    <m/>
    <n v="245990"/>
    <n v="206714.28571428571"/>
  </r>
  <r>
    <s v="Geronimo Mendez"/>
    <n v="220744"/>
    <d v="2025-12-18T09:27:18"/>
    <s v="66666666-6"/>
    <s v="Cliente GERONIMO MENDEZ Generico"/>
    <x v="8"/>
    <s v="Ventas Local"/>
    <s v="Maiko"/>
    <n v="46474"/>
    <n v="0"/>
    <n v="0"/>
    <s v="D√©bito"/>
    <s v="En Caja Operacional"/>
    <n v="14466"/>
    <m/>
    <n v="46474"/>
    <n v="39053.781512605041"/>
  </r>
  <r>
    <s v="Antillanca"/>
    <n v="220743"/>
    <d v="2025-12-18T09:13:39"/>
    <s v="77602677-8"/>
    <s v="REPUESTOS DAYTONA SPA"/>
    <x v="3"/>
    <s v="Antillanca"/>
    <s v="Nataly"/>
    <n v="357405"/>
    <n v="0"/>
    <n v="0"/>
    <s v="Transferencia"/>
    <s v="En Caja Operacional"/>
    <n v="226"/>
    <m/>
    <n v="136136"/>
    <n v="114400"/>
  </r>
  <r>
    <s v="Antillanca"/>
    <n v="220743"/>
    <d v="2025-12-18T09:13:39"/>
    <s v="77602677-8"/>
    <s v="REPUESTOS DAYTONA SPA"/>
    <x v="3"/>
    <s v="Antillanca"/>
    <s v="Nataly"/>
    <n v="357405"/>
    <n v="0"/>
    <n v="0"/>
    <s v="Transferencia"/>
    <s v="En Caja Operacional"/>
    <n v="227"/>
    <m/>
    <n v="221269"/>
    <n v="185940.3361344538"/>
  </r>
  <r>
    <s v="Linares"/>
    <n v="220742"/>
    <d v="2025-12-17T17:47:51"/>
    <s v="66666666-6"/>
    <s v="Cliente LINARES Generico"/>
    <x v="1"/>
    <s v="Linares"/>
    <s v="Eduardo"/>
    <n v="35704"/>
    <n v="0"/>
    <n v="0"/>
    <s v="Cr√©dito"/>
    <s v="En Caja Operacional"/>
    <n v="995203"/>
    <m/>
    <n v="35704"/>
    <n v="30003.361344537818"/>
  </r>
  <r>
    <s v="Rojas Magallanes"/>
    <n v="220741"/>
    <d v="2025-12-17T17:40:02"/>
    <s v="76581249-6"/>
    <s v="SERVICIOS MECANICOS ALEJANDRA GLADYS CARRIZO ZUNIGA E I R L"/>
    <x v="5"/>
    <s v="Rojas Magallanes"/>
    <s v="Marisol"/>
    <n v="144967"/>
    <n v="0"/>
    <n v="0"/>
    <s v="Transferencia"/>
    <s v="En Caja Operacional"/>
    <n v="257205"/>
    <m/>
    <n v="144967"/>
    <n v="121821.00840336135"/>
  </r>
  <r>
    <s v="Rojas Magallanes"/>
    <n v="220740"/>
    <d v="2025-12-17T17:38:11"/>
    <s v="76581249-6"/>
    <s v="SERVICIOS MECANICOS ALEJANDRA GLADYS CARRIZO ZUNIGA E I R L"/>
    <x v="5"/>
    <s v="Rojas Magallanes"/>
    <s v="Marisol"/>
    <n v="91710"/>
    <n v="0"/>
    <n v="0"/>
    <s v="Transferencia"/>
    <s v="En Caja Operacional"/>
    <n v="257204"/>
    <m/>
    <n v="91710"/>
    <n v="77067.226890756312"/>
  </r>
  <r>
    <s v="Rojas Magallanes"/>
    <n v="220739"/>
    <d v="2025-12-17T17:23:08"/>
    <s v="66666666-6"/>
    <s v="Cliente ROJAS MAGALLANES Generico"/>
    <x v="5"/>
    <s v="Rojas Magallanes"/>
    <s v="Cristian"/>
    <n v="54727"/>
    <n v="0"/>
    <n v="0"/>
    <s v="Cr√©dito"/>
    <s v="En Caja Operacional"/>
    <n v="563206"/>
    <m/>
    <n v="54727"/>
    <n v="45989.075630252104"/>
  </r>
  <r>
    <s v="Geronimo Mendez"/>
    <n v="220739"/>
    <d v="2025-12-17T17:21:02"/>
    <s v="77331017-3"/>
    <s v="SERVICIOS INTEGRALES DE MECANICA AUTOMOTRIZ SPA"/>
    <x v="14"/>
    <s v="Ventas Local"/>
    <s v="SoporteVenta"/>
    <n v="22129"/>
    <n v="0"/>
    <n v="0"/>
    <s v="D√©bito"/>
    <s v="En Caja Operacional"/>
    <n v="945036"/>
    <m/>
    <n v="22129"/>
    <n v="18595.798319327732"/>
  </r>
  <r>
    <s v="Linares"/>
    <n v="220738"/>
    <d v="2025-12-17T17:20:17"/>
    <s v="66666666-6"/>
    <s v="Cliente LINARES Generico"/>
    <x v="1"/>
    <s v="Linares"/>
    <s v="Eduardo"/>
    <n v="30636"/>
    <n v="0"/>
    <n v="0"/>
    <s v="D√©bito"/>
    <s v="En Caja Operacional"/>
    <n v="909606"/>
    <m/>
    <n v="30636"/>
    <n v="25744.537815126052"/>
  </r>
  <r>
    <s v="Ovalle"/>
    <n v="220737"/>
    <d v="2025-12-17T16:50:21"/>
    <s v="77546174-8"/>
    <s v="TRANSPORTES HMC SPA"/>
    <x v="6"/>
    <s v="Ovalle"/>
    <s v="Emilio"/>
    <n v="196493"/>
    <n v="0"/>
    <n v="0"/>
    <s v="Efectivo"/>
    <s v="En Caja Operacional"/>
    <m/>
    <m/>
    <n v="1"/>
    <n v="0.84033613445378152"/>
  </r>
  <r>
    <s v="Ovalle"/>
    <n v="220737"/>
    <d v="2025-12-17T16:50:21"/>
    <s v="77546174-8"/>
    <s v="TRANSPORTES HMC SPA"/>
    <x v="6"/>
    <s v="Ovalle"/>
    <s v="Emilio"/>
    <n v="196493"/>
    <n v="0"/>
    <n v="0"/>
    <s v="Cheque"/>
    <s v="En Caja Operacional"/>
    <n v="8484366"/>
    <d v="2026-01-16T00:00:00"/>
    <n v="98246"/>
    <n v="82559.663865546216"/>
  </r>
  <r>
    <s v="Ovalle"/>
    <n v="220737"/>
    <d v="2025-12-17T16:50:21"/>
    <s v="77546174-8"/>
    <s v="TRANSPORTES HMC SPA"/>
    <x v="6"/>
    <s v="Ovalle"/>
    <s v="Emilio"/>
    <n v="196493"/>
    <n v="0"/>
    <n v="0"/>
    <s v="Cheque"/>
    <s v="En Caja Operacional"/>
    <n v="8484367"/>
    <d v="2026-02-16T00:00:00"/>
    <n v="98246"/>
    <n v="82559.663865546216"/>
  </r>
  <r>
    <s v="Linares"/>
    <n v="220736"/>
    <d v="2025-12-17T16:40:29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Geronimo Mendez"/>
    <n v="220735"/>
    <d v="2025-12-17T16:30:35"/>
    <s v="9758096-0"/>
    <s v="PEDRO CASTRO"/>
    <x v="0"/>
    <s v="Ventas Local"/>
    <s v="SoporteVenta"/>
    <n v="400000"/>
    <n v="0"/>
    <n v="0"/>
    <s v="D√©bito"/>
    <s v="En Caja Operacional"/>
    <n v="528868"/>
    <m/>
    <n v="400000"/>
    <n v="336134.45378151262"/>
  </r>
  <r>
    <s v="Rojas Magallanes"/>
    <n v="220734"/>
    <d v="2025-12-17T16:24:34"/>
    <s v="66666666-6"/>
    <s v="Cliente ROJAS MAGALLANES Generico"/>
    <x v="5"/>
    <s v="Rojas Magallanes"/>
    <s v="Marisol"/>
    <n v="44678"/>
    <n v="0"/>
    <n v="0"/>
    <s v="D√©bito"/>
    <s v="En Caja Operacional"/>
    <n v="359658"/>
    <m/>
    <n v="44678"/>
    <n v="37544.537815126052"/>
  </r>
  <r>
    <s v="Linares"/>
    <n v="220733"/>
    <d v="2025-12-17T16:20:14"/>
    <s v="66666666-6"/>
    <s v="Cliente LINARES Generico"/>
    <x v="1"/>
    <s v="Linares"/>
    <s v="Eduardo"/>
    <n v="30611"/>
    <n v="0"/>
    <n v="0"/>
    <s v="Efectivo"/>
    <s v="En Caja Operacional"/>
    <m/>
    <m/>
    <n v="30611"/>
    <n v="25723.529411764706"/>
  </r>
  <r>
    <s v="Rojas Magallanes"/>
    <n v="220732"/>
    <d v="2025-12-17T16:04:00"/>
    <s v="66666666-6"/>
    <s v="Cliente ROJAS MAGALLANES Generico"/>
    <x v="5"/>
    <s v="Rojas Magallanes"/>
    <s v="Cristian"/>
    <n v="31809"/>
    <n v="0"/>
    <n v="0"/>
    <s v="D√©bito"/>
    <s v="En Caja Operacional"/>
    <n v="654681"/>
    <m/>
    <n v="31809"/>
    <n v="26730.252100840338"/>
  </r>
  <r>
    <s v="Geronimo Mendez"/>
    <n v="220731"/>
    <d v="2025-12-17T15:24:09"/>
    <s v="9668829-6"/>
    <s v="ALBERTINA BERNARDITA ALARCON"/>
    <x v="8"/>
    <s v="Ventas Local"/>
    <s v="SoporteVenta"/>
    <n v="523876"/>
    <n v="0"/>
    <n v="0"/>
    <s v="D√©bito"/>
    <s v="En Caja Operacional"/>
    <n v="962823"/>
    <m/>
    <n v="523876"/>
    <n v="440231.93277310923"/>
  </r>
  <r>
    <s v="Linares"/>
    <n v="220730"/>
    <d v="2025-12-17T15:21:17"/>
    <s v="66666666-6"/>
    <s v="Cliente LINARES Generico"/>
    <x v="1"/>
    <s v="Linares"/>
    <s v="Eduardo"/>
    <n v="118008"/>
    <n v="0"/>
    <n v="0"/>
    <s v="D√©bito"/>
    <s v="En Caja Operacional"/>
    <n v="190881"/>
    <m/>
    <n v="118008"/>
    <n v="99166.386554621859"/>
  </r>
  <r>
    <s v="Ovalle"/>
    <n v="220729"/>
    <d v="2025-12-17T15:14:48"/>
    <s v="12569531-0"/>
    <s v="EMILIO SANTOS"/>
    <x v="6"/>
    <s v="Ovalle"/>
    <s v="Emilio"/>
    <n v="47221"/>
    <n v="0"/>
    <n v="0"/>
    <s v="D√©bito"/>
    <s v="En Caja Operacional"/>
    <n v="451546"/>
    <m/>
    <n v="47221"/>
    <n v="39681.512605042022"/>
  </r>
  <r>
    <s v="Geronimo Mendez"/>
    <n v="220728"/>
    <d v="2025-12-17T15:11:23"/>
    <s v="10351653-6"/>
    <s v="VICENTE ALBARNEZ"/>
    <x v="0"/>
    <s v="Cobranzas"/>
    <s v="Maria"/>
    <n v="2000000"/>
    <n v="0"/>
    <n v="0"/>
    <s v="Efectivo"/>
    <s v="En Caja Operacional"/>
    <m/>
    <m/>
    <n v="2000000"/>
    <n v="1680672.2689075631"/>
  </r>
  <r>
    <s v="Geronimo Mendez"/>
    <n v="220727"/>
    <d v="2025-12-17T15:10:19"/>
    <s v="76422450-7"/>
    <s v="NU√ëEZ Y NU√ëEZ LTDA"/>
    <x v="0"/>
    <s v="Cobranzas"/>
    <s v="Maria"/>
    <n v="340000"/>
    <n v="0"/>
    <n v="0"/>
    <s v="Efectivo"/>
    <s v="En Caja Operacional"/>
    <m/>
    <m/>
    <n v="340000"/>
    <n v="285714.28571428574"/>
  </r>
  <r>
    <s v="Rojas Magallanes"/>
    <n v="220726"/>
    <d v="2025-12-17T13:31:50"/>
    <s v="66666666-6"/>
    <s v="Cliente ROJAS MAGALLANES Generico"/>
    <x v="5"/>
    <s v="Rojas Magallanes"/>
    <s v="Marisol"/>
    <n v="133790"/>
    <n v="0"/>
    <n v="0"/>
    <s v="D√©bito"/>
    <s v="En Caja Operacional"/>
    <n v="313583"/>
    <m/>
    <n v="133790"/>
    <n v="112428.57142857143"/>
  </r>
  <r>
    <s v="Rojas Magallanes"/>
    <n v="220725"/>
    <d v="2025-12-17T13:12:03"/>
    <s v="66666666-6"/>
    <s v="Cliente ROJAS MAGALLANES Generico"/>
    <x v="5"/>
    <s v="Rojas Magallanes"/>
    <s v="Marisol"/>
    <n v="44920"/>
    <n v="0"/>
    <n v="3"/>
    <s v="Efectivo"/>
    <s v="En Caja Operacional"/>
    <m/>
    <m/>
    <n v="44920"/>
    <n v="37747.899159663866"/>
  </r>
  <r>
    <s v="Geronimo Mendez"/>
    <n v="220724"/>
    <d v="2025-12-17T13:06:29"/>
    <s v="66666666-6"/>
    <s v="Cliente retail generico"/>
    <x v="17"/>
    <s v="Ventas Local"/>
    <s v="SoporteVenta"/>
    <n v="216484"/>
    <n v="0"/>
    <n v="0"/>
    <s v="D√©bito"/>
    <s v="En Caja Operacional"/>
    <n v="601466"/>
    <m/>
    <n v="216484"/>
    <n v="181919.32773109243"/>
  </r>
  <r>
    <s v="Geronimo Mendez"/>
    <n v="220723"/>
    <d v="2025-12-17T12:41:26"/>
    <s v="77499952-3"/>
    <s v="TRANSPORTES SANTA TRINIDAD SPA"/>
    <x v="14"/>
    <s v="Ventas Local"/>
    <s v="SoporteVenta"/>
    <n v="202162"/>
    <n v="0"/>
    <n v="0"/>
    <s v="Cr√©dito"/>
    <s v="En Caja Operacional"/>
    <n v="803396"/>
    <m/>
    <n v="202162"/>
    <n v="169884.03361344538"/>
  </r>
  <r>
    <s v="Linares"/>
    <n v="220722"/>
    <d v="2025-12-17T12:37:32"/>
    <s v="9262987-2"/>
    <s v="EDUARDO ENRIQUE PONCE"/>
    <x v="1"/>
    <s v="Linares"/>
    <s v="Eduardo"/>
    <n v="62944"/>
    <n v="0"/>
    <n v="0"/>
    <s v="Efectivo"/>
    <s v="En Caja Operacional"/>
    <m/>
    <m/>
    <n v="23144"/>
    <n v="19448.73949579832"/>
  </r>
  <r>
    <s v="Linares"/>
    <n v="220722"/>
    <d v="2025-12-17T12:37:32"/>
    <s v="9262987-2"/>
    <s v="EDUARDO ENRIQUE PONCE"/>
    <x v="1"/>
    <s v="Linares"/>
    <s v="Eduardo"/>
    <n v="62944"/>
    <n v="0"/>
    <n v="0"/>
    <s v="D√©bito"/>
    <s v="En Caja Operacional"/>
    <n v="435006"/>
    <m/>
    <n v="39800"/>
    <n v="33445.378151260506"/>
  </r>
  <r>
    <s v="Rojas Magallanes"/>
    <n v="220721"/>
    <d v="2025-12-17T12:37:01"/>
    <s v="66666666-6"/>
    <s v="Cliente ROJAS MAGALLANES Generico"/>
    <x v="5"/>
    <s v="Rojas Magallanes"/>
    <s v="Cristian"/>
    <n v="44868"/>
    <n v="0"/>
    <n v="0"/>
    <s v="Efectivo"/>
    <s v="En Caja Operacional"/>
    <m/>
    <m/>
    <n v="44868"/>
    <n v="37704.201680672268"/>
  </r>
  <r>
    <s v="Geronimo Mendez"/>
    <n v="220720"/>
    <d v="2025-12-17T12:32:16"/>
    <s v="76310874-0"/>
    <s v="MOVIMIENTO DE TIERRA Y ARRIENDO DE MAQUINARIA MTA ANDACOLLO LIMITADA"/>
    <x v="2"/>
    <s v="Contraloria"/>
    <s v="Selene"/>
    <n v="1094381"/>
    <n v="0"/>
    <n v="1"/>
    <s v="Transferencia"/>
    <s v="En Caja Operacional"/>
    <n v="275391"/>
    <m/>
    <n v="94381"/>
    <n v="79311.76470588235"/>
  </r>
  <r>
    <s v="Geronimo Mendez"/>
    <n v="220720"/>
    <d v="2025-12-17T12:32:16"/>
    <s v="76310874-0"/>
    <s v="MOVIMIENTO DE TIERRA Y ARRIENDO DE MAQUINARIA MTA ANDACOLLO LIMITADA"/>
    <x v="2"/>
    <s v="Contraloria"/>
    <s v="Selene"/>
    <n v="1094381"/>
    <n v="0"/>
    <n v="1"/>
    <s v="Transferencia"/>
    <s v="En Caja Operacional"/>
    <n v="275391"/>
    <m/>
    <n v="1000000"/>
    <n v="840336.13445378153"/>
  </r>
  <r>
    <s v="Geronimo Mendez"/>
    <n v="220719"/>
    <d v="2025-12-17T12:28:18"/>
    <s v="76824754-4"/>
    <s v="COMERCIAL ALVAYAY 19 DE ENERO LIMITADA"/>
    <x v="2"/>
    <s v="Contraloria"/>
    <s v="Selene"/>
    <n v="1539606"/>
    <n v="0"/>
    <n v="0"/>
    <s v="Transferencia"/>
    <s v="En Caja Operacional"/>
    <n v="275390"/>
    <m/>
    <n v="1539606"/>
    <n v="1293786.5546218487"/>
  </r>
  <r>
    <s v="Geronimo Mendez"/>
    <n v="220718"/>
    <d v="2025-12-17T12:26:15"/>
    <s v="76944910-8"/>
    <s v="SOC.TRANSPORTE PIZARRO HERMANOS LTDA"/>
    <x v="0"/>
    <s v="Contraloria"/>
    <s v="Selene"/>
    <n v="105101"/>
    <n v="0"/>
    <n v="0"/>
    <s v="Cheque"/>
    <s v="En Caja Operacional"/>
    <n v="311"/>
    <d v="2025-12-16T00:00:00"/>
    <n v="105101"/>
    <n v="88320.168067226899"/>
  </r>
  <r>
    <s v="Geronimo Mendez"/>
    <n v="220717"/>
    <d v="2025-12-17T12:24:45"/>
    <s v="12597024-9"/>
    <s v="YANINA BORQUEZ"/>
    <x v="0"/>
    <s v="Contraloria"/>
    <s v="Selene"/>
    <n v="1611564"/>
    <n v="0"/>
    <n v="2"/>
    <s v="Cheque"/>
    <s v="En Caja Operacional"/>
    <n v="20"/>
    <d v="2026-01-13T00:00:00"/>
    <n v="402891"/>
    <n v="338563.86554621853"/>
  </r>
  <r>
    <s v="Geronimo Mendez"/>
    <n v="220717"/>
    <d v="2025-12-17T12:24:45"/>
    <s v="12597024-9"/>
    <s v="YANINA BORQUEZ"/>
    <x v="0"/>
    <s v="Contraloria"/>
    <s v="Selene"/>
    <n v="1611564"/>
    <n v="0"/>
    <n v="2"/>
    <s v="Cheque"/>
    <s v="En Caja Operacional"/>
    <n v="21"/>
    <d v="2026-02-13T00:00:00"/>
    <n v="402891"/>
    <n v="338563.86554621853"/>
  </r>
  <r>
    <s v="Geronimo Mendez"/>
    <n v="220717"/>
    <d v="2025-12-17T12:24:45"/>
    <s v="12597024-9"/>
    <s v="YANINA BORQUEZ"/>
    <x v="0"/>
    <s v="Contraloria"/>
    <s v="Selene"/>
    <n v="1611564"/>
    <n v="0"/>
    <n v="2"/>
    <s v="Cheque"/>
    <s v="En Caja Operacional"/>
    <n v="22"/>
    <d v="2026-03-13T00:00:00"/>
    <n v="402891"/>
    <n v="338563.86554621853"/>
  </r>
  <r>
    <s v="Geronimo Mendez"/>
    <n v="220717"/>
    <d v="2025-12-17T12:24:45"/>
    <s v="12597024-9"/>
    <s v="YANINA BORQUEZ"/>
    <x v="0"/>
    <s v="Contraloria"/>
    <s v="Selene"/>
    <n v="1611564"/>
    <n v="0"/>
    <n v="2"/>
    <s v="Cheque"/>
    <s v="En Caja Operacional"/>
    <n v="23"/>
    <d v="2026-04-13T00:00:00"/>
    <n v="402891"/>
    <n v="338563.86554621853"/>
  </r>
  <r>
    <s v="Geronimo Mendez"/>
    <n v="220716"/>
    <d v="2025-12-17T12:22:03"/>
    <s v="19888725-0"/>
    <s v="VALENTINA DALIA RAMIREZ"/>
    <x v="0"/>
    <s v="Contraloria"/>
    <s v="Selene"/>
    <n v="160616"/>
    <n v="0"/>
    <n v="0"/>
    <s v="Transferencia"/>
    <s v="En Caja Operacional"/>
    <n v="275625"/>
    <m/>
    <n v="160616"/>
    <n v="134971.42857142858"/>
  </r>
  <r>
    <s v="Geronimo Mendez"/>
    <n v="220715"/>
    <d v="2025-12-17T12:20:49"/>
    <s v="12095120-3"/>
    <s v="ALAMIRO ANTONIO ROJAS"/>
    <x v="0"/>
    <s v="Contraloria"/>
    <s v="Selene"/>
    <n v="240020"/>
    <n v="0"/>
    <n v="2"/>
    <s v="Transferencia"/>
    <s v="En Caja Operacional"/>
    <n v="275626"/>
    <m/>
    <n v="216000"/>
    <n v="181512.6050420168"/>
  </r>
  <r>
    <s v="Geronimo Mendez"/>
    <n v="220715"/>
    <d v="2025-12-17T12:20:49"/>
    <s v="12095120-3"/>
    <s v="ALAMIRO ANTONIO ROJAS"/>
    <x v="0"/>
    <s v="Contraloria"/>
    <s v="Selene"/>
    <n v="240020"/>
    <n v="0"/>
    <n v="2"/>
    <s v="Transferencia"/>
    <s v="En Caja Operacional"/>
    <n v="275626"/>
    <m/>
    <n v="24020"/>
    <n v="20184.873949579833"/>
  </r>
  <r>
    <s v="Geronimo Mendez"/>
    <n v="220714"/>
    <d v="2025-12-17T12:19:03"/>
    <s v="77819040-0"/>
    <s v="INVERSIONES INMOB. R.G.P. E HIJOS LTDA"/>
    <x v="0"/>
    <s v="Contraloria"/>
    <s v="Selene"/>
    <n v="473383"/>
    <n v="0"/>
    <n v="0"/>
    <s v="Transferencia"/>
    <s v="En Caja Operacional"/>
    <n v="275624"/>
    <m/>
    <n v="473383"/>
    <n v="397800.84033613448"/>
  </r>
  <r>
    <s v="Geronimo Mendez"/>
    <n v="220713"/>
    <d v="2025-12-17T11:47:55"/>
    <s v="66666666-6"/>
    <s v="Cliente retail generico"/>
    <x v="17"/>
    <s v="Ventas Local"/>
    <s v="SoporteVenta"/>
    <n v="100421"/>
    <n v="0"/>
    <n v="0"/>
    <s v="D√©bito"/>
    <s v="En Caja Operacional"/>
    <n v="707934"/>
    <m/>
    <n v="100421"/>
    <n v="84387.394957983197"/>
  </r>
  <r>
    <s v="Antillanca"/>
    <n v="220712"/>
    <d v="2025-12-17T11:47:51"/>
    <s v="77296338-6"/>
    <s v="SERVICIOS AUTOMOTRIZ GUERRERO SPA"/>
    <x v="3"/>
    <s v="Antillanca"/>
    <s v="Nataly"/>
    <n v="1361360"/>
    <n v="0"/>
    <n v="0"/>
    <s v="Transferencia"/>
    <s v="En Caja Operacional"/>
    <n v="228"/>
    <m/>
    <n v="1361360"/>
    <n v="1144000"/>
  </r>
  <r>
    <s v="Antillanca"/>
    <n v="220711"/>
    <d v="2025-12-17T11:45:29"/>
    <s v="77106188-5"/>
    <s v="MANTENCIONES BEATRIZ DEL CARMEN AREVALO AGUIRRE E I R L"/>
    <x v="12"/>
    <s v="Antillanca"/>
    <s v="Nataly"/>
    <n v="118406"/>
    <n v="0"/>
    <n v="0"/>
    <s v="Transferencia"/>
    <s v="En Caja Operacional"/>
    <n v="63"/>
    <m/>
    <n v="118406"/>
    <n v="99500.840336134454"/>
  </r>
  <r>
    <s v="Rojas Magallanes"/>
    <n v="220710"/>
    <d v="2025-12-17T11:39:46"/>
    <s v="66666666-6"/>
    <s v="Cliente ROJAS MAGALLANES Generico"/>
    <x v="5"/>
    <s v="Rojas Magallanes"/>
    <s v="Marisol"/>
    <n v="45582"/>
    <n v="0"/>
    <n v="0"/>
    <s v="Cr√©dito"/>
    <s v="En Caja Operacional"/>
    <n v="158578"/>
    <m/>
    <n v="45582"/>
    <n v="38304.201680672268"/>
  </r>
  <r>
    <s v="Rojas Magallanes"/>
    <n v="220709"/>
    <d v="2025-12-17T11:34:07"/>
    <s v="66666666-6"/>
    <s v="Cliente ROJAS MAGALLANES Generico"/>
    <x v="5"/>
    <s v="Rojas Magallanes"/>
    <s v="Marisol"/>
    <n v="39950"/>
    <n v="0"/>
    <n v="3"/>
    <s v="Efectivo"/>
    <s v="En Caja Operacional"/>
    <m/>
    <m/>
    <n v="39950"/>
    <n v="33571.428571428572"/>
  </r>
  <r>
    <s v="Ovalle"/>
    <n v="220708"/>
    <d v="2025-12-17T11:29:42"/>
    <s v="66666666-6"/>
    <s v="Cliente OVALLE Generico"/>
    <x v="6"/>
    <s v="Ovalle"/>
    <s v="Emilio"/>
    <n v="6928"/>
    <n v="0"/>
    <n v="0"/>
    <s v="Efectivo"/>
    <s v="En Caja Operacional"/>
    <m/>
    <m/>
    <n v="6928"/>
    <n v="5821.8487394957983"/>
  </r>
  <r>
    <s v="Antillanca"/>
    <n v="220707"/>
    <d v="2025-12-17T11:28:49"/>
    <s v="78924320-4"/>
    <s v="TRANSPORTES VIKING S A"/>
    <x v="13"/>
    <s v="Antillanca"/>
    <s v="Nataly"/>
    <n v="2332157"/>
    <n v="0"/>
    <n v="0"/>
    <s v="Cheque"/>
    <s v="En Caja Operacional"/>
    <n v="4343666"/>
    <d v="2025-12-10T00:00:00"/>
    <n v="2332157"/>
    <n v="1959795.7983193279"/>
  </r>
  <r>
    <s v="Geronimo Mendez"/>
    <n v="220706"/>
    <d v="2025-12-17T11:18:15"/>
    <s v="78181022-3"/>
    <s v="VENTAS Y SERVICIOS TAURO SPA"/>
    <x v="4"/>
    <s v="Ventas Local"/>
    <s v="SoporteVenta"/>
    <n v="161696"/>
    <n v="0"/>
    <n v="0"/>
    <s v="Transferencia"/>
    <s v="En Caja Operacional"/>
    <n v="275737"/>
    <m/>
    <n v="161696"/>
    <n v="135878.99159663866"/>
  </r>
  <r>
    <s v="Geronimo Mendez"/>
    <n v="220705"/>
    <d v="2025-12-17T11:14:11"/>
    <s v="77500195-K"/>
    <s v="GALVEZ AUTOMECANICA SPA"/>
    <x v="8"/>
    <s v="Ventas Local"/>
    <s v="SoporteVenta"/>
    <n v="79894"/>
    <n v="0"/>
    <n v="0"/>
    <s v="D√©bito"/>
    <s v="En Caja Operacional"/>
    <n v="5820"/>
    <m/>
    <n v="79894"/>
    <n v="67137.815126050424"/>
  </r>
  <r>
    <s v="Linares"/>
    <n v="220704"/>
    <d v="2025-12-17T11:01:45"/>
    <s v="66666666-6"/>
    <s v="Cliente LINARES Generico"/>
    <x v="1"/>
    <s v="Linares"/>
    <s v="Eduardo"/>
    <n v="26679"/>
    <n v="0"/>
    <n v="0"/>
    <s v="D√©bito"/>
    <s v="En Caja Operacional"/>
    <n v="106881"/>
    <m/>
    <n v="26679"/>
    <n v="22419.327731092439"/>
  </r>
  <r>
    <s v="Linares"/>
    <n v="220703"/>
    <d v="2025-12-17T10:46:57"/>
    <s v="66666666-6"/>
    <s v="Cliente LINARES Generico"/>
    <x v="1"/>
    <s v="Linares"/>
    <s v="Eduardo"/>
    <n v="95950"/>
    <n v="0"/>
    <n v="0"/>
    <s v="D√©bito"/>
    <s v="En Caja Operacional"/>
    <n v="611771"/>
    <m/>
    <n v="95950"/>
    <n v="80630.252100840342"/>
  </r>
  <r>
    <s v="Linares"/>
    <n v="220702"/>
    <d v="2025-12-17T10:43:27"/>
    <s v="66666666-6"/>
    <s v="Cliente LINARES Generico"/>
    <x v="1"/>
    <s v="Linares"/>
    <s v="Eduardo"/>
    <n v="44868"/>
    <n v="0"/>
    <n v="0"/>
    <s v="Cr√©dito"/>
    <s v="En Caja Operacional"/>
    <n v="439324"/>
    <m/>
    <n v="44868"/>
    <n v="37704.201680672268"/>
  </r>
  <r>
    <s v="Geronimo Mendez"/>
    <n v="220701"/>
    <d v="2025-12-17T10:36:41"/>
    <s v="10009892-K"/>
    <s v="ARTURO CHIRINO"/>
    <x v="8"/>
    <s v="Ventas Local"/>
    <s v="SoporteVenta"/>
    <n v="582440"/>
    <n v="0"/>
    <n v="0"/>
    <s v="Cheque"/>
    <s v="En Caja Operacional"/>
    <n v="5178130"/>
    <d v="2025-12-17T00:00:00"/>
    <n v="200000"/>
    <n v="168067.22689075631"/>
  </r>
  <r>
    <s v="Geronimo Mendez"/>
    <n v="220701"/>
    <d v="2025-12-17T10:36:41"/>
    <s v="10009892-K"/>
    <s v="ARTURO CHIRINO"/>
    <x v="8"/>
    <s v="Ventas Local"/>
    <s v="SoporteVenta"/>
    <n v="582440"/>
    <n v="0"/>
    <n v="0"/>
    <s v="Cheque"/>
    <s v="En Caja Operacional"/>
    <n v="5178129"/>
    <d v="2026-01-17T00:00:00"/>
    <n v="200000"/>
    <n v="168067.22689075631"/>
  </r>
  <r>
    <s v="Geronimo Mendez"/>
    <n v="220701"/>
    <d v="2025-12-17T10:36:41"/>
    <s v="10009892-K"/>
    <s v="ARTURO CHIRINO"/>
    <x v="8"/>
    <s v="Ventas Local"/>
    <s v="SoporteVenta"/>
    <n v="582440"/>
    <n v="0"/>
    <n v="0"/>
    <s v="Cheque"/>
    <s v="En Caja Operacional"/>
    <n v="5178128"/>
    <d v="2026-02-17T00:00:00"/>
    <n v="182440"/>
    <n v="153310.9243697479"/>
  </r>
  <r>
    <s v="Ovalle"/>
    <n v="220700"/>
    <d v="2025-12-17T10:20:38"/>
    <s v="66666666-6"/>
    <s v="Cliente OVALLE Generico"/>
    <x v="6"/>
    <s v="Ovalle"/>
    <s v="Emilio"/>
    <n v="32242"/>
    <n v="0"/>
    <n v="0"/>
    <s v="Efectivo"/>
    <s v="En Caja Operacional"/>
    <m/>
    <m/>
    <n v="32242"/>
    <n v="27094.117647058825"/>
  </r>
  <r>
    <s v="Geronimo Mendez"/>
    <n v="220699"/>
    <d v="2025-12-17T10:06:58"/>
    <s v="76575812-2"/>
    <s v="SOC. DE TRANSPORTES GUERRERO LIMITADA"/>
    <x v="8"/>
    <s v="Ventas Local"/>
    <s v="SoporteVenta"/>
    <n v="462229"/>
    <n v="0"/>
    <n v="0"/>
    <s v="Cheque"/>
    <s v="En Caja Operacional"/>
    <n v="5143143"/>
    <d v="2025-12-17T00:00:00"/>
    <n v="150000"/>
    <n v="126050.42016806723"/>
  </r>
  <r>
    <s v="Geronimo Mendez"/>
    <n v="220699"/>
    <d v="2025-12-17T10:06:58"/>
    <s v="76575812-2"/>
    <s v="SOC. DE TRANSPORTES GUERRERO LIMITADA"/>
    <x v="8"/>
    <s v="Ventas Local"/>
    <s v="SoporteVenta"/>
    <n v="462229"/>
    <n v="0"/>
    <n v="0"/>
    <s v="Cheque"/>
    <s v="En Caja Operacional"/>
    <n v="5143144"/>
    <d v="2026-01-17T00:00:00"/>
    <n v="150000"/>
    <n v="126050.42016806723"/>
  </r>
  <r>
    <s v="Geronimo Mendez"/>
    <n v="220699"/>
    <d v="2025-12-17T10:06:58"/>
    <s v="76575812-2"/>
    <s v="SOC. DE TRANSPORTES GUERRERO LIMITADA"/>
    <x v="8"/>
    <s v="Ventas Local"/>
    <s v="SoporteVenta"/>
    <n v="462229"/>
    <n v="0"/>
    <n v="0"/>
    <s v="Cheque"/>
    <s v="En Caja Operacional"/>
    <n v="5143145"/>
    <d v="2026-02-17T00:00:00"/>
    <n v="162229"/>
    <n v="136326.89075630251"/>
  </r>
  <r>
    <s v="Geronimo Mendez"/>
    <n v="220698"/>
    <d v="2025-12-17T09:33:22"/>
    <s v="76460242-0"/>
    <s v="CECIL SALFATE HURTADO E HIJOS CONTRATISTAS SOCIEDAD POR ACCIONES"/>
    <x v="8"/>
    <s v="Ventas Local"/>
    <s v="SoporteVenta"/>
    <n v="24990"/>
    <n v="0"/>
    <n v="0"/>
    <s v="D√©bito"/>
    <s v="En Caja Operacional"/>
    <n v="325259"/>
    <m/>
    <n v="24990"/>
    <n v="21000"/>
  </r>
  <r>
    <s v="Antillanca"/>
    <n v="220697"/>
    <d v="2025-12-17T08:59:36"/>
    <s v="12369041-9"/>
    <s v="MANUEL FRANCISCO GAETE"/>
    <x v="3"/>
    <s v="Antillanca"/>
    <s v="Nataly"/>
    <n v="724990"/>
    <n v="0"/>
    <n v="0"/>
    <s v="Transferencia"/>
    <s v="En Caja Operacional"/>
    <n v="65"/>
    <m/>
    <n v="724990"/>
    <n v="609235.29411764711"/>
  </r>
  <r>
    <s v="Antillanca"/>
    <n v="220696"/>
    <d v="2025-12-17T08:56:28"/>
    <s v="76831944-8"/>
    <s v="C Y J FMA SPA"/>
    <x v="10"/>
    <s v="Antillanca"/>
    <s v="Nataly"/>
    <n v="528657"/>
    <n v="0"/>
    <n v="0"/>
    <s v="Transferencia"/>
    <s v="En Caja Operacional"/>
    <n v="115"/>
    <m/>
    <n v="528657"/>
    <n v="444249.57983193279"/>
  </r>
  <r>
    <s v="Antillanca"/>
    <n v="220695"/>
    <d v="2025-12-17T08:52:19"/>
    <s v="76455819-7"/>
    <s v="COMERCIALIZADORA E INVER.EL TRIANGULO SP"/>
    <x v="16"/>
    <s v="Antillanca"/>
    <s v="Nataly"/>
    <n v="1082900"/>
    <n v="0"/>
    <n v="0"/>
    <s v="Cheque"/>
    <s v="En Caja Operacional"/>
    <n v="1993"/>
    <d v="2026-01-30T00:00:00"/>
    <n v="360000"/>
    <n v="302521.00840336137"/>
  </r>
  <r>
    <s v="Antillanca"/>
    <n v="220695"/>
    <d v="2025-12-17T08:52:19"/>
    <s v="76455819-7"/>
    <s v="COMERCIALIZADORA E INVER.EL TRIANGULO SP"/>
    <x v="16"/>
    <s v="Antillanca"/>
    <s v="Nataly"/>
    <n v="1082900"/>
    <n v="0"/>
    <n v="0"/>
    <s v="Cheque"/>
    <s v="En Caja Operacional"/>
    <n v="1992"/>
    <d v="2025-12-30T00:00:00"/>
    <n v="360000"/>
    <n v="302521.00840336137"/>
  </r>
  <r>
    <s v="Antillanca"/>
    <n v="220695"/>
    <d v="2025-12-17T08:52:19"/>
    <s v="76455819-7"/>
    <s v="COMERCIALIZADORA E INVER.EL TRIANGULO SP"/>
    <x v="16"/>
    <s v="Antillanca"/>
    <s v="Nataly"/>
    <n v="1082900"/>
    <n v="0"/>
    <n v="0"/>
    <s v="Cheque"/>
    <s v="En Caja Operacional"/>
    <n v="1994"/>
    <d v="2026-02-27T00:00:00"/>
    <n v="362900"/>
    <n v="304957.98319327732"/>
  </r>
  <r>
    <s v="Linares"/>
    <n v="220694"/>
    <d v="2025-12-16T18:12:45"/>
    <s v="66666666-6"/>
    <s v="Cliente LINARES Generico"/>
    <x v="1"/>
    <s v="Linares"/>
    <s v="Eduardo"/>
    <n v="79000"/>
    <n v="0"/>
    <n v="874"/>
    <s v="D√©bito"/>
    <s v="En Caja Operacional"/>
    <n v="946882"/>
    <m/>
    <n v="30000"/>
    <n v="25210.084033613446"/>
  </r>
  <r>
    <s v="Linares"/>
    <n v="220694"/>
    <d v="2025-12-16T18:12:45"/>
    <s v="66666666-6"/>
    <s v="Cliente LINARES Generico"/>
    <x v="1"/>
    <s v="Linares"/>
    <s v="Eduardo"/>
    <n v="79000"/>
    <n v="0"/>
    <n v="874"/>
    <s v="Cr√©dito"/>
    <s v="En Caja Operacional"/>
    <n v="118023"/>
    <m/>
    <n v="49000"/>
    <n v="41176.470588235294"/>
  </r>
  <r>
    <s v="Geronimo Mendez"/>
    <n v="220693"/>
    <d v="2025-12-16T17:46:07"/>
    <s v="16662771-0"/>
    <s v="FELIX HERNAN SANTANDER"/>
    <x v="4"/>
    <s v="Ventas Local"/>
    <s v="SoporteVenta"/>
    <n v="130517"/>
    <n v="0"/>
    <n v="0"/>
    <s v="D√©bito"/>
    <s v="En Caja Operacional"/>
    <n v="643879"/>
    <m/>
    <n v="130517"/>
    <n v="109678.15126050421"/>
  </r>
  <r>
    <s v="Linares"/>
    <n v="220692"/>
    <d v="2025-12-16T17:40:49"/>
    <s v="66666666-6"/>
    <s v="Cliente LINARES Generico"/>
    <x v="1"/>
    <s v="Linares"/>
    <s v="Eduardo"/>
    <n v="44843"/>
    <n v="0"/>
    <n v="0"/>
    <s v="D√©bito"/>
    <s v="En Caja Operacional"/>
    <n v="8535"/>
    <m/>
    <n v="44843"/>
    <n v="37683.193277310929"/>
  </r>
  <r>
    <s v="Geronimo Mendez"/>
    <n v="220691"/>
    <d v="2025-12-16T17:32:39"/>
    <s v="66666666-6"/>
    <s v="Cliente retail generico"/>
    <x v="17"/>
    <s v="Ventas Local"/>
    <s v="SoporteVenta"/>
    <n v="216484"/>
    <n v="0"/>
    <n v="0"/>
    <s v="Cr√©dito"/>
    <s v="En Caja Operacional"/>
    <n v="954916"/>
    <m/>
    <n v="216484"/>
    <n v="181919.32773109243"/>
  </r>
  <r>
    <s v="Geronimo Mendez"/>
    <n v="220690"/>
    <d v="2025-12-16T16:45:56"/>
    <s v="77737256-4"/>
    <s v="SOCIEDAD COMERCIALIZADORA Y DISTRIBUIDORA MATRIPLAST IV REGION SPA"/>
    <x v="8"/>
    <s v="Ventas Local"/>
    <s v="SoporteVenta"/>
    <n v="168846"/>
    <n v="0"/>
    <n v="0"/>
    <s v="D√©bito"/>
    <s v="En Caja Operacional"/>
    <n v="458622"/>
    <m/>
    <n v="168846"/>
    <n v="141887.3949579832"/>
  </r>
  <r>
    <s v="Ovalle"/>
    <n v="220689"/>
    <d v="2025-12-16T16:33:29"/>
    <s v="78060068-3"/>
    <s v="MICHELLE MAQUINARIAS LIMITADA"/>
    <x v="6"/>
    <s v="Ovalle"/>
    <s v="Emilio"/>
    <n v="91710"/>
    <n v="0"/>
    <n v="0"/>
    <s v="D√©bito"/>
    <s v="En Caja Operacional"/>
    <n v="242714"/>
    <m/>
    <n v="91710"/>
    <n v="77067.226890756312"/>
  </r>
  <r>
    <s v="Antillanca"/>
    <n v="220688"/>
    <d v="2025-12-16T16:28:14"/>
    <s v="76731861-8"/>
    <s v="SOCIEDAD BLANCA ESTELA SPA"/>
    <x v="9"/>
    <s v="Antillanca"/>
    <s v="Nataly"/>
    <n v="1465252"/>
    <n v="0"/>
    <n v="0"/>
    <s v="Cheque"/>
    <s v="En Caja Operacional"/>
    <n v="1194359"/>
    <d v="2025-12-11T00:00:00"/>
    <n v="370252"/>
    <n v="311136.13445378153"/>
  </r>
  <r>
    <s v="Antillanca"/>
    <n v="220688"/>
    <d v="2025-12-16T16:28:14"/>
    <s v="76731861-8"/>
    <s v="SOCIEDAD BLANCA ESTELA SPA"/>
    <x v="9"/>
    <s v="Antillanca"/>
    <s v="Nataly"/>
    <n v="1465252"/>
    <n v="0"/>
    <n v="0"/>
    <s v="Cheque"/>
    <s v="En Caja Operacional"/>
    <n v="1194360"/>
    <d v="2026-01-11T00:00:00"/>
    <n v="365000"/>
    <n v="306722.68907563027"/>
  </r>
  <r>
    <s v="Antillanca"/>
    <n v="220688"/>
    <d v="2025-12-16T16:28:14"/>
    <s v="76731861-8"/>
    <s v="SOCIEDAD BLANCA ESTELA SPA"/>
    <x v="9"/>
    <s v="Antillanca"/>
    <s v="Nataly"/>
    <n v="1465252"/>
    <n v="0"/>
    <n v="0"/>
    <s v="Cheque"/>
    <s v="En Caja Operacional"/>
    <n v="1194361"/>
    <d v="2026-02-11T00:00:00"/>
    <n v="365000"/>
    <n v="306722.68907563027"/>
  </r>
  <r>
    <s v="Antillanca"/>
    <n v="220688"/>
    <d v="2025-12-16T16:28:14"/>
    <s v="76731861-8"/>
    <s v="SOCIEDAD BLANCA ESTELA SPA"/>
    <x v="9"/>
    <s v="Antillanca"/>
    <s v="Nataly"/>
    <n v="1465252"/>
    <n v="0"/>
    <n v="0"/>
    <s v="Cheque"/>
    <s v="En Caja Operacional"/>
    <n v="1194362"/>
    <d v="2026-03-11T00:00:00"/>
    <n v="365000"/>
    <n v="306722.68907563027"/>
  </r>
  <r>
    <s v="Antillanca"/>
    <n v="220687"/>
    <d v="2025-12-16T16:22:47"/>
    <s v="76577908-1"/>
    <s v="ALDO Y LUIS SPA"/>
    <x v="3"/>
    <s v="Antillanca"/>
    <s v="Nataly"/>
    <n v="468230"/>
    <n v="0"/>
    <n v="0"/>
    <s v="Efectivo"/>
    <s v="En Caja Operacional"/>
    <m/>
    <m/>
    <n v="468230"/>
    <n v="393470.58823529416"/>
  </r>
  <r>
    <s v="Antillanca"/>
    <n v="220686"/>
    <d v="2025-12-16T16:18:34"/>
    <s v="77558093-3"/>
    <s v="TRANSPORTES T M SPA"/>
    <x v="9"/>
    <s v="Antillanca"/>
    <s v="Nataly"/>
    <n v="1199020"/>
    <n v="0"/>
    <n v="0"/>
    <s v="Transferencia"/>
    <s v="En Caja Operacional"/>
    <n v="159"/>
    <m/>
    <n v="1199020"/>
    <n v="1007579.8319327731"/>
  </r>
  <r>
    <s v="Antillanca"/>
    <n v="220685"/>
    <d v="2025-12-16T16:05:47"/>
    <s v="77558093-3"/>
    <s v="TRANSPORTES T M SPA"/>
    <x v="9"/>
    <s v="Antillanca"/>
    <s v="Nataly"/>
    <n v="2170708"/>
    <n v="0"/>
    <n v="0"/>
    <s v="Transferencia"/>
    <s v="En Caja Operacional"/>
    <n v="160"/>
    <m/>
    <n v="2170708"/>
    <n v="1824124.3697478992"/>
  </r>
  <r>
    <s v="Antillanca"/>
    <n v="220684"/>
    <d v="2025-12-16T15:58:25"/>
    <s v="77558093-3"/>
    <s v="TRANSPORTES T M SPA"/>
    <x v="9"/>
    <s v="Antillanca"/>
    <s v="Nataly"/>
    <n v="1085354"/>
    <n v="0"/>
    <n v="0"/>
    <s v="Transferencia"/>
    <s v="En Caja Operacional"/>
    <n v="161"/>
    <m/>
    <n v="1085354"/>
    <n v="912062.18487394962"/>
  </r>
  <r>
    <s v="Ovalle"/>
    <n v="220683"/>
    <d v="2025-12-16T15:49:45"/>
    <s v="66666666-6"/>
    <s v="Cliente OVALLE Generico"/>
    <x v="6"/>
    <s v="Ovalle"/>
    <s v="Emilio"/>
    <n v="160439"/>
    <n v="0"/>
    <n v="0"/>
    <s v="D√©bito"/>
    <s v="En Caja Operacional"/>
    <n v="911139"/>
    <m/>
    <n v="160439"/>
    <n v="134822.68907563025"/>
  </r>
  <r>
    <s v="Geronimo Mendez"/>
    <n v="220682"/>
    <d v="2025-12-16T15:43:57"/>
    <s v="77316540-8"/>
    <s v="PILLADO Y CIA. LTDA."/>
    <x v="14"/>
    <s v="Ventas Local"/>
    <s v="SoporteVenta"/>
    <n v="1665262"/>
    <n v="0"/>
    <n v="0"/>
    <s v="Transferencia"/>
    <s v="En Caja Operacional"/>
    <n v="218"/>
    <m/>
    <n v="1665262"/>
    <n v="1399379.8319327731"/>
  </r>
  <r>
    <s v="Geronimo Mendez"/>
    <n v="220681"/>
    <d v="2025-12-16T15:43:03"/>
    <s v="77316540-8"/>
    <s v="PILLADO Y CIA. LTDA."/>
    <x v="14"/>
    <s v="Ventas Local"/>
    <s v="SoporteVenta"/>
    <n v="2186780"/>
    <n v="0"/>
    <n v="0"/>
    <s v="Transferencia"/>
    <s v="En Caja Operacional"/>
    <n v="219"/>
    <m/>
    <n v="2186780"/>
    <n v="1837630.2521008404"/>
  </r>
  <r>
    <s v="Ovalle"/>
    <n v="220680"/>
    <d v="2025-12-16T15:23:36"/>
    <s v="17973727-2"/>
    <s v="YUBITZA ALEJANDRA ARAYA"/>
    <x v="6"/>
    <s v="Ovalle"/>
    <s v="Emilio"/>
    <n v="146659"/>
    <n v="0"/>
    <n v="0"/>
    <s v="D√©bito"/>
    <s v="En Caja Operacional"/>
    <n v="287"/>
    <m/>
    <n v="146659"/>
    <n v="123242.85714285714"/>
  </r>
  <r>
    <s v="Ovalle"/>
    <n v="220679"/>
    <d v="2025-12-16T15:14:16"/>
    <s v="12569531-0"/>
    <s v="EMILIO SANTOS"/>
    <x v="6"/>
    <s v="Ovalle"/>
    <s v="Emilio"/>
    <n v="30833"/>
    <n v="0"/>
    <n v="0"/>
    <s v="D√©bito"/>
    <s v="En Caja Operacional"/>
    <n v="381722"/>
    <m/>
    <n v="30833"/>
    <n v="25910.084033613446"/>
  </r>
  <r>
    <s v="Antillanca"/>
    <n v="220678"/>
    <d v="2025-12-16T15:03:26"/>
    <s v="6609291-7"/>
    <s v="JUAN ANTONIO MARTINEZ"/>
    <x v="9"/>
    <s v="Antillanca"/>
    <s v="Nataly"/>
    <n v="395456"/>
    <n v="0"/>
    <n v="0"/>
    <s v="Cheque"/>
    <s v="En Caja Operacional"/>
    <n v="1274892"/>
    <d v="2025-12-23T00:00:00"/>
    <n v="395456"/>
    <n v="332315.96638655465"/>
  </r>
  <r>
    <s v="Antillanca"/>
    <n v="220677"/>
    <d v="2025-12-16T14:40:49"/>
    <s v="8740609-1"/>
    <s v="JORGE HERMOGENES BERRIOS LOBOS"/>
    <x v="9"/>
    <s v="Antillanca"/>
    <s v="Nataly"/>
    <n v="998192"/>
    <n v="0"/>
    <n v="0"/>
    <s v="Transferencia"/>
    <s v="En Caja Operacional"/>
    <n v="3"/>
    <m/>
    <n v="998192"/>
    <n v="838816.80672268907"/>
  </r>
  <r>
    <s v="Geronimo Mendez"/>
    <n v="220676"/>
    <d v="2025-12-16T13:48:45"/>
    <s v="76901639-2"/>
    <s v="SOC.DE TRANSPORTES AGUILERA ROJAS LTDA"/>
    <x v="8"/>
    <s v="Ventas Local"/>
    <s v="SoporteVenta"/>
    <n v="216485"/>
    <n v="0"/>
    <n v="0"/>
    <s v="D√©bito"/>
    <s v="En Caja Operacional"/>
    <n v="3427"/>
    <m/>
    <n v="216485"/>
    <n v="181920.16806722688"/>
  </r>
  <r>
    <s v="Geronimo Mendez"/>
    <n v="220675"/>
    <d v="2025-12-16T13:18:14"/>
    <s v="77391043-K"/>
    <s v="TRANSPORTE G Y V SPA"/>
    <x v="8"/>
    <s v="Ventas Local"/>
    <s v="SoporteVenta"/>
    <n v="507654"/>
    <n v="0"/>
    <n v="0"/>
    <s v="D√©bito"/>
    <s v="En Caja Operacional"/>
    <n v="19478"/>
    <m/>
    <n v="507654"/>
    <n v="426600"/>
  </r>
  <r>
    <s v="Linares"/>
    <n v="220674"/>
    <d v="2025-12-16T13:07:30"/>
    <s v="66666666-6"/>
    <s v="Cliente LINARES Generico"/>
    <x v="1"/>
    <s v="Linares"/>
    <s v="Eduardo"/>
    <n v="111134"/>
    <n v="0"/>
    <n v="0"/>
    <s v="D√©bito"/>
    <s v="En Caja Operacional"/>
    <n v="768080"/>
    <m/>
    <n v="111134"/>
    <n v="93389.915966386558"/>
  </r>
  <r>
    <s v="Geronimo Mendez"/>
    <n v="220673"/>
    <d v="2025-12-16T13:03:35"/>
    <s v="77051227-1"/>
    <s v="TRANSPORTES MAITENCILLO SPA"/>
    <x v="8"/>
    <s v="Ventas Local"/>
    <s v="SoporteVenta"/>
    <n v="442237"/>
    <n v="0"/>
    <n v="0"/>
    <s v="D√©bito"/>
    <s v="En Caja Operacional"/>
    <n v="304"/>
    <m/>
    <n v="442237"/>
    <n v="371627.731092437"/>
  </r>
  <r>
    <s v="Rojas Magallanes"/>
    <n v="220672"/>
    <d v="2025-12-16T12:57:54"/>
    <s v="66666666-6"/>
    <s v="Cliente ROJAS MAGALLANES Generico"/>
    <x v="5"/>
    <s v="Rojas Magallanes"/>
    <s v="Marisol"/>
    <n v="43522"/>
    <n v="0"/>
    <n v="0"/>
    <s v="Cr√©dito"/>
    <s v="En Caja Operacional"/>
    <n v="443448"/>
    <m/>
    <n v="43522"/>
    <n v="36573.10924369748"/>
  </r>
  <r>
    <s v="Geronimo Mendez"/>
    <n v="220671"/>
    <d v="2025-12-16T12:44:33"/>
    <s v="12267788-5"/>
    <s v="CARLOS EDUARDO  CORREA"/>
    <x v="4"/>
    <s v="Ventas Local"/>
    <s v="SoporteVenta"/>
    <n v="196680"/>
    <n v="0"/>
    <n v="0"/>
    <s v="Efectivo"/>
    <s v="En Caja Operacional"/>
    <m/>
    <m/>
    <n v="180000"/>
    <n v="151260.50420168068"/>
  </r>
  <r>
    <s v="Geronimo Mendez"/>
    <n v="220671"/>
    <d v="2025-12-16T12:44:33"/>
    <s v="12267788-5"/>
    <s v="CARLOS EDUARDO  CORREA"/>
    <x v="4"/>
    <s v="Ventas Local"/>
    <s v="SoporteVenta"/>
    <n v="196680"/>
    <n v="0"/>
    <n v="0"/>
    <s v="D√©bito"/>
    <s v="En Caja Operacional"/>
    <n v="3497"/>
    <m/>
    <n v="16680"/>
    <n v="14016.806722689076"/>
  </r>
  <r>
    <s v="Rojas Magallanes"/>
    <n v="220670"/>
    <d v="2025-12-16T12:36:31"/>
    <s v="66666666-6"/>
    <s v="Cliente ROJAS MAGALLANES Generico"/>
    <x v="5"/>
    <s v="Rojas Magallanes"/>
    <s v="Marisol"/>
    <n v="45707"/>
    <n v="0"/>
    <n v="0"/>
    <s v="D√©bito"/>
    <s v="En Caja Operacional"/>
    <n v="4016"/>
    <m/>
    <n v="45707"/>
    <n v="38409.243697478996"/>
  </r>
  <r>
    <s v="Geronimo Mendez"/>
    <n v="220669"/>
    <d v="2025-12-16T12:34:31"/>
    <s v="11618195-9"/>
    <s v="JAIME ALEJANDRO CORTES"/>
    <x v="0"/>
    <s v="Ventas Local"/>
    <s v="SoporteVenta"/>
    <n v="508311"/>
    <n v="0"/>
    <n v="0"/>
    <s v="Efectivo"/>
    <s v="En Caja Operacional"/>
    <m/>
    <m/>
    <n v="1"/>
    <n v="0.84033613445378152"/>
  </r>
  <r>
    <s v="Geronimo Mendez"/>
    <n v="220669"/>
    <d v="2025-12-16T12:34:31"/>
    <s v="11618195-9"/>
    <s v="JAIME ALEJANDRO CORTES"/>
    <x v="0"/>
    <s v="Ventas Local"/>
    <s v="SoporteVenta"/>
    <n v="508311"/>
    <n v="0"/>
    <n v="0"/>
    <s v="Cheque"/>
    <s v="En Caja Operacional"/>
    <n v="5014767"/>
    <d v="2026-01-29T00:00:00"/>
    <n v="254155"/>
    <n v="213575.63025210085"/>
  </r>
  <r>
    <s v="Geronimo Mendez"/>
    <n v="220669"/>
    <d v="2025-12-16T12:34:31"/>
    <s v="11618195-9"/>
    <s v="JAIME ALEJANDRO CORTES"/>
    <x v="0"/>
    <s v="Ventas Local"/>
    <s v="SoporteVenta"/>
    <n v="508311"/>
    <n v="0"/>
    <n v="0"/>
    <s v="Cheque"/>
    <s v="En Caja Operacional"/>
    <n v="5014768"/>
    <d v="2026-02-20T00:00:00"/>
    <n v="254155"/>
    <n v="213575.63025210085"/>
  </r>
  <r>
    <s v="Rojas Magallanes"/>
    <n v="220668"/>
    <d v="2025-12-16T12:26:27"/>
    <s v="17001785-4"/>
    <s v="MARCOS PATRICIO DE JESUS RAMIREZ"/>
    <x v="10"/>
    <s v="Rojas Magallanes"/>
    <s v="Marisol"/>
    <n v="105101"/>
    <n v="0"/>
    <n v="0"/>
    <s v="Cr√©dito"/>
    <s v="En Caja Operacional"/>
    <n v="660411"/>
    <m/>
    <n v="105101"/>
    <n v="88320.168067226899"/>
  </r>
  <r>
    <s v="Linares"/>
    <n v="220667"/>
    <d v="2025-12-16T12:22:39"/>
    <s v="66666666-6"/>
    <s v="Cliente LINARES Generico"/>
    <x v="1"/>
    <s v="Linares"/>
    <s v="Eduardo"/>
    <n v="56641"/>
    <n v="0"/>
    <n v="0"/>
    <s v="D√©bito"/>
    <s v="En Caja Operacional"/>
    <n v="14625"/>
    <m/>
    <n v="56641"/>
    <n v="47597.478991596639"/>
  </r>
  <r>
    <s v="Linares"/>
    <n v="220666"/>
    <d v="2025-12-16T12:09:37"/>
    <s v="66666666-6"/>
    <s v="Cliente LINARES Generico"/>
    <x v="1"/>
    <s v="Linares"/>
    <s v="Eduardo"/>
    <n v="50244"/>
    <n v="0"/>
    <n v="0"/>
    <s v="D√©bito"/>
    <s v="En Caja Operacional"/>
    <n v="70952"/>
    <m/>
    <n v="50244"/>
    <n v="42221.848739495799"/>
  </r>
  <r>
    <s v="Ovalle"/>
    <n v="220665"/>
    <d v="2025-12-16T11:57:19"/>
    <s v="66666666-6"/>
    <s v="Cliente OVALLE Generico"/>
    <x v="6"/>
    <s v="Ovalle"/>
    <s v="Emilio"/>
    <n v="37731"/>
    <n v="0"/>
    <n v="0"/>
    <s v="Efectivo"/>
    <s v="En Caja Operacional"/>
    <m/>
    <m/>
    <n v="37731"/>
    <n v="31706.722689075632"/>
  </r>
  <r>
    <s v="Ovalle"/>
    <n v="220664"/>
    <d v="2025-12-16T11:56:15"/>
    <s v="66666666-6"/>
    <s v="Cliente OVALLE Generico"/>
    <x v="6"/>
    <s v="Ovalle"/>
    <s v="Emilio"/>
    <n v="117032"/>
    <n v="0"/>
    <n v="0"/>
    <s v="Cr√©dito"/>
    <s v="En Caja Operacional"/>
    <n v="262524"/>
    <m/>
    <n v="117032"/>
    <n v="98346.218487394959"/>
  </r>
  <r>
    <s v="Linares"/>
    <n v="220663"/>
    <d v="2025-12-16T11:52:05"/>
    <s v="66666666-6"/>
    <s v="Cliente LINARES Generico"/>
    <x v="1"/>
    <s v="Linares"/>
    <s v="Eduardo"/>
    <n v="39974"/>
    <n v="0"/>
    <n v="0"/>
    <s v="Efectivo"/>
    <s v="En Caja Operacional"/>
    <m/>
    <m/>
    <n v="39974"/>
    <n v="33591.596638655465"/>
  </r>
  <r>
    <s v="Rojas Magallanes"/>
    <n v="220662"/>
    <d v="2025-12-16T11:41:10"/>
    <s v="66666666-6"/>
    <s v="Cliente ROJAS MAGALLANES Generico"/>
    <x v="5"/>
    <s v="Rojas Magallanes"/>
    <s v="Marisol"/>
    <n v="30636"/>
    <n v="0"/>
    <n v="0"/>
    <s v="Efectivo"/>
    <s v="En Caja Operacional"/>
    <m/>
    <m/>
    <n v="30636"/>
    <n v="25744.537815126052"/>
  </r>
  <r>
    <s v="Linares"/>
    <n v="220661"/>
    <d v="2025-12-16T11:36:23"/>
    <s v="66666666-6"/>
    <s v="Cliente LINARES Generico"/>
    <x v="1"/>
    <s v="Linares"/>
    <s v="Eduardo"/>
    <n v="38041"/>
    <n v="0"/>
    <n v="0"/>
    <s v="Efectivo"/>
    <s v="En Caja Operacional"/>
    <m/>
    <m/>
    <n v="38041"/>
    <n v="31967.226890756305"/>
  </r>
  <r>
    <s v="Rojas Magallanes"/>
    <n v="220660"/>
    <d v="2025-12-16T11:35:01"/>
    <s v="66666666-6"/>
    <s v="Cliente ROJAS MAGALLANES Generico"/>
    <x v="5"/>
    <s v="Rojas Magallanes"/>
    <s v="Marisol"/>
    <n v="86408"/>
    <n v="0"/>
    <n v="0"/>
    <s v="D√©bito"/>
    <s v="En Caja Operacional"/>
    <n v="430005"/>
    <m/>
    <n v="86408"/>
    <n v="72611.76470588235"/>
  </r>
  <r>
    <s v="Geronimo Mendez"/>
    <n v="220659"/>
    <d v="2025-12-16T11:29:44"/>
    <s v="77691322-7"/>
    <s v="LA SERENA LOGISTICA SPA"/>
    <x v="8"/>
    <s v="Ventas Local"/>
    <s v="SoporteVenta"/>
    <n v="67473"/>
    <n v="0"/>
    <n v="0"/>
    <s v="D√©bito"/>
    <s v="En Caja Operacional"/>
    <n v="829748"/>
    <m/>
    <n v="67473"/>
    <n v="56700"/>
  </r>
  <r>
    <s v="Rojas Magallanes"/>
    <n v="220658"/>
    <d v="2025-12-16T11:07:44"/>
    <s v="76445709-9"/>
    <s v="COM ACAM SPA"/>
    <x v="10"/>
    <s v="Rojas Magallanes"/>
    <s v="Cristian"/>
    <n v="107440"/>
    <n v="0"/>
    <n v="0"/>
    <s v="Cr√©dito"/>
    <s v="En Caja Operacional"/>
    <n v="657725"/>
    <m/>
    <n v="107440"/>
    <n v="90285.71428571429"/>
  </r>
  <r>
    <s v="Geronimo Mendez"/>
    <n v="220657"/>
    <d v="2025-12-16T10:43:18"/>
    <s v="78202862-6"/>
    <s v="TRANSPORTES VALER SPA"/>
    <x v="14"/>
    <s v="Ventas Local"/>
    <s v="SoporteVenta"/>
    <n v="19992"/>
    <n v="0"/>
    <n v="0"/>
    <s v="D√©bito"/>
    <s v="En Caja Operacional"/>
    <n v="222250"/>
    <m/>
    <n v="19992"/>
    <n v="16800"/>
  </r>
  <r>
    <s v="Linares"/>
    <n v="220656"/>
    <d v="2025-12-16T10:43:09"/>
    <s v="78126761-9"/>
    <s v="ELECTRICIDAD Y COMERCIAL ARAPLAZ SPA"/>
    <x v="1"/>
    <s v="Linares"/>
    <s v="Eduardo"/>
    <n v="56350"/>
    <n v="0"/>
    <n v="0"/>
    <s v="D√©bito"/>
    <s v="En Caja Operacional"/>
    <n v="6824"/>
    <m/>
    <n v="56350"/>
    <n v="47352.941176470587"/>
  </r>
  <r>
    <s v="Ovalle"/>
    <n v="220655"/>
    <d v="2025-12-16T10:41:43"/>
    <s v="76889477-9"/>
    <s v="SOC. AGRICOLA LAS MERCEDES LTDA"/>
    <x v="6"/>
    <s v="Ovalle"/>
    <s v="Emilio"/>
    <n v="41864"/>
    <n v="0"/>
    <n v="0"/>
    <s v="Efectivo"/>
    <s v="En Caja Operacional"/>
    <m/>
    <m/>
    <n v="41864"/>
    <n v="35179.831932773108"/>
  </r>
  <r>
    <s v="Ovalle"/>
    <n v="220654"/>
    <d v="2025-12-16T10:27:49"/>
    <s v="66666666-6"/>
    <s v="Cliente OVALLE Generico"/>
    <x v="6"/>
    <s v="Ovalle"/>
    <s v="Emilio"/>
    <n v="11304"/>
    <n v="0"/>
    <n v="0"/>
    <s v="Efectivo"/>
    <s v="En Caja Operacional"/>
    <m/>
    <m/>
    <n v="11304"/>
    <n v="9499.1596638655465"/>
  </r>
  <r>
    <s v="Linares"/>
    <n v="220653"/>
    <d v="2025-12-16T10:08:19"/>
    <s v="66666666-6"/>
    <s v="Cliente LINARES Generico"/>
    <x v="1"/>
    <s v="Linares"/>
    <s v="Eduardo"/>
    <n v="72268"/>
    <n v="0"/>
    <n v="0"/>
    <s v="D√©bito"/>
    <s v="En Caja Operacional"/>
    <n v="725429"/>
    <m/>
    <n v="72268"/>
    <n v="60729.411764705888"/>
  </r>
  <r>
    <s v="Geronimo Mendez"/>
    <n v="220652"/>
    <d v="2025-12-16T10:07:45"/>
    <s v="77100686-8"/>
    <s v="COMERCIALIZADORA Y DISTRIBUIDORA DOS VALLES SPA"/>
    <x v="8"/>
    <s v="Ventas Local"/>
    <s v="SoporteVenta"/>
    <n v="67342"/>
    <n v="0"/>
    <n v="0"/>
    <s v="D√©bito"/>
    <s v="En Caja Operacional"/>
    <n v="653814"/>
    <m/>
    <n v="67342"/>
    <n v="56589.915966386558"/>
  </r>
  <r>
    <s v="Linares"/>
    <n v="220651"/>
    <d v="2025-12-16T10:02:21"/>
    <s v="66666666-6"/>
    <s v="Cliente LINARES Generico"/>
    <x v="1"/>
    <s v="Linares"/>
    <s v="Eduardo"/>
    <n v="14200"/>
    <n v="0"/>
    <n v="0"/>
    <s v="Efectivo"/>
    <s v="En Caja Operacional"/>
    <m/>
    <m/>
    <n v="14200"/>
    <n v="11932.773109243699"/>
  </r>
  <r>
    <s v="Geronimo Mendez"/>
    <n v="220650"/>
    <d v="2025-12-16T09:35:55"/>
    <s v="77610185-0"/>
    <s v="SERVICIOS M P SPA"/>
    <x v="14"/>
    <s v="Ventas Local"/>
    <s v="SoporteVenta"/>
    <n v="252865"/>
    <n v="0"/>
    <n v="0"/>
    <s v="D√©bito"/>
    <s v="En Caja Operacional"/>
    <n v="505366"/>
    <m/>
    <n v="252865"/>
    <n v="212491.59663865546"/>
  </r>
  <r>
    <s v="Linares"/>
    <n v="220649"/>
    <d v="2025-12-16T09:21:45"/>
    <s v="9262987-2"/>
    <s v="EDUARDO ENRIQUE PONCE"/>
    <x v="1"/>
    <s v="Linares"/>
    <s v="Eduardo"/>
    <n v="120000"/>
    <n v="0"/>
    <n v="0"/>
    <s v="D√©bito"/>
    <s v="En Caja Operacional"/>
    <n v="29430"/>
    <m/>
    <n v="120000"/>
    <n v="100840.33613445378"/>
  </r>
  <r>
    <s v="Rojas Magallanes"/>
    <n v="220648"/>
    <d v="2025-12-15T17:42:17"/>
    <s v="13695287-0"/>
    <s v="VICTOR HUGO CORTES"/>
    <x v="3"/>
    <s v="Rojas Magallanes"/>
    <s v="Marisol"/>
    <n v="77116"/>
    <n v="0"/>
    <n v="0"/>
    <s v="Cr√©dito"/>
    <s v="En Caja Operacional"/>
    <n v="631412"/>
    <m/>
    <n v="77116"/>
    <n v="64803.361344537821"/>
  </r>
  <r>
    <s v="Linares"/>
    <n v="220647"/>
    <d v="2025-12-15T17:42:15"/>
    <s v="66666666-6"/>
    <s v="Cliente LINARES Generico"/>
    <x v="1"/>
    <s v="Linares"/>
    <s v="Eduardo"/>
    <n v="88335"/>
    <n v="0"/>
    <n v="0"/>
    <s v="D√©bito"/>
    <s v="En Caja Operacional"/>
    <n v="7297"/>
    <m/>
    <n v="88335"/>
    <n v="74231.092436974795"/>
  </r>
  <r>
    <s v="Geronimo Mendez"/>
    <n v="220646"/>
    <d v="2025-12-15T17:35:32"/>
    <s v="77573120-6"/>
    <s v="MAESTRANZA FAREMIN LTDA"/>
    <x v="8"/>
    <s v="Ventas Local"/>
    <s v="SoporteVenta"/>
    <n v="664996"/>
    <n v="0"/>
    <n v="0"/>
    <s v="Transferencia"/>
    <s v="En Caja Operacional"/>
    <n v="201"/>
    <m/>
    <n v="664996"/>
    <n v="558820.16806722688"/>
  </r>
  <r>
    <s v="Linares"/>
    <n v="220645"/>
    <d v="2025-12-15T17:34:04"/>
    <s v="13330916-0"/>
    <s v="WALTER MUNOZ"/>
    <x v="8"/>
    <s v="Linares"/>
    <s v="Eduardo"/>
    <n v="66179"/>
    <n v="0"/>
    <n v="0"/>
    <s v="D√©bito"/>
    <s v="En Caja Operacional"/>
    <n v="227442"/>
    <m/>
    <n v="66179"/>
    <n v="55612.60504201681"/>
  </r>
  <r>
    <s v="Linares"/>
    <n v="220644"/>
    <d v="2025-12-15T17:18:09"/>
    <s v="66666666-6"/>
    <s v="Cliente LINARES Generico"/>
    <x v="1"/>
    <s v="Linares"/>
    <s v="Eduardo"/>
    <n v="31251"/>
    <n v="0"/>
    <n v="0"/>
    <s v="Efectivo"/>
    <s v="En Caja Operacional"/>
    <m/>
    <m/>
    <n v="31251"/>
    <n v="26261.344537815126"/>
  </r>
  <r>
    <s v="Linares"/>
    <n v="220643"/>
    <d v="2025-12-15T17:11:01"/>
    <s v="66666666-6"/>
    <s v="Cliente LINARES Generico"/>
    <x v="1"/>
    <s v="Linares"/>
    <s v="Eduardo"/>
    <n v="55636"/>
    <n v="0"/>
    <n v="0"/>
    <s v="D√©bito"/>
    <s v="En Caja Operacional"/>
    <n v="955560"/>
    <m/>
    <n v="55636"/>
    <n v="46752.941176470587"/>
  </r>
  <r>
    <s v="Linares"/>
    <n v="220642"/>
    <d v="2025-12-15T17:01:36"/>
    <s v="66666666-6"/>
    <s v="Cliente LINARES Generico"/>
    <x v="1"/>
    <s v="Linares"/>
    <s v="Eduardo"/>
    <n v="24213"/>
    <n v="0"/>
    <n v="0"/>
    <s v="Efectivo"/>
    <s v="En Caja Operacional"/>
    <m/>
    <m/>
    <n v="24213"/>
    <n v="20347.058823529413"/>
  </r>
  <r>
    <s v="Rojas Magallanes"/>
    <n v="220641"/>
    <d v="2025-12-15T16:47:09"/>
    <s v="66666666-6"/>
    <s v="Cliente ROJAS MAGALLANES Generico"/>
    <x v="5"/>
    <s v="Rojas Magallanes"/>
    <s v="Marisol"/>
    <n v="30611"/>
    <n v="0"/>
    <n v="0"/>
    <s v="D√©bito"/>
    <s v="En Caja Operacional"/>
    <n v="36"/>
    <m/>
    <n v="30611"/>
    <n v="25723.529411764706"/>
  </r>
  <r>
    <s v="Linares"/>
    <n v="220640"/>
    <d v="2025-12-15T16:46:47"/>
    <s v="77030035-5"/>
    <s v="COMERCIALIZADORA PEQUENA LU SPA"/>
    <x v="8"/>
    <s v="Linares"/>
    <s v="Eduardo"/>
    <n v="110157"/>
    <n v="0"/>
    <n v="0"/>
    <s v="D√©bito"/>
    <s v="En Caja Operacional"/>
    <n v="607359"/>
    <m/>
    <n v="110157"/>
    <n v="92568.907563025219"/>
  </r>
  <r>
    <s v="Ovalle"/>
    <n v="220639"/>
    <d v="2025-12-15T16:45:47"/>
    <s v="66666666-6"/>
    <s v="Cliente OVALLE Generico"/>
    <x v="6"/>
    <s v="Ovalle"/>
    <s v="Emilio"/>
    <n v="31745"/>
    <n v="0"/>
    <n v="0"/>
    <s v="Efectivo"/>
    <s v="En Caja Operacional"/>
    <m/>
    <m/>
    <n v="31745"/>
    <n v="26676.470588235294"/>
  </r>
  <r>
    <s v="Rojas Magallanes"/>
    <n v="220638"/>
    <d v="2025-12-15T16:41:00"/>
    <s v="66666666-6"/>
    <s v="Cliente ROJAS MAGALLANES Generico"/>
    <x v="5"/>
    <s v="Rojas Magallanes"/>
    <s v="Marisol"/>
    <n v="44868"/>
    <n v="0"/>
    <n v="0"/>
    <s v="D√©bito"/>
    <s v="En Caja Operacional"/>
    <n v="40735"/>
    <m/>
    <n v="44868"/>
    <n v="37704.201680672268"/>
  </r>
  <r>
    <s v="Linares"/>
    <n v="220637"/>
    <d v="2025-12-15T16:34:51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Geronimo Mendez"/>
    <n v="220636"/>
    <d v="2025-12-15T16:20:40"/>
    <s v="18231959-7"/>
    <s v="ROBERTO ESTEBAN ARAYA"/>
    <x v="8"/>
    <s v="Ventas Local"/>
    <s v="SoporteVenta"/>
    <n v="66185"/>
    <n v="0"/>
    <n v="0"/>
    <s v="D√©bito"/>
    <s v="En Caja Operacional"/>
    <n v="200445"/>
    <m/>
    <n v="66185"/>
    <n v="55617.647058823532"/>
  </r>
  <r>
    <s v="Linares"/>
    <n v="220635"/>
    <d v="2025-12-15T16:06:50"/>
    <s v="9262987-2"/>
    <s v="EDUARDO ENRIQUE PONCE"/>
    <x v="1"/>
    <s v="Linares"/>
    <s v="Eduardo"/>
    <n v="33154"/>
    <n v="0"/>
    <n v="0"/>
    <s v="Efectivo"/>
    <s v="En Caja Operacional"/>
    <m/>
    <m/>
    <n v="33154"/>
    <n v="27860.504201680673"/>
  </r>
  <r>
    <s v="Geronimo Mendez"/>
    <n v="220635"/>
    <d v="2025-12-15T16:05:16"/>
    <s v="77373732-0"/>
    <s v="SERVICIOS DARKO ESPEJO SPA"/>
    <x v="4"/>
    <s v="Ventas Local"/>
    <s v="SoporteVenta"/>
    <n v="310804"/>
    <n v="0"/>
    <n v="0"/>
    <s v="D√©bito"/>
    <s v="En Caja Operacional"/>
    <n v="45568"/>
    <m/>
    <n v="310804"/>
    <n v="261179.83193277312"/>
  </r>
  <r>
    <s v="Linares"/>
    <n v="220634"/>
    <d v="2025-12-15T15:47:07"/>
    <s v="9262987-2"/>
    <s v="EDUARDO ENRIQUE PONCE"/>
    <x v="1"/>
    <s v="Linares"/>
    <s v="Eduardo"/>
    <n v="114981"/>
    <n v="0"/>
    <n v="0"/>
    <s v="Efectivo"/>
    <s v="En Caja Operacional"/>
    <m/>
    <m/>
    <n v="36981"/>
    <n v="31076.470588235297"/>
  </r>
  <r>
    <s v="Linares"/>
    <n v="220634"/>
    <d v="2025-12-15T15:47:07"/>
    <s v="9262987-2"/>
    <s v="EDUARDO ENRIQUE PONCE"/>
    <x v="1"/>
    <s v="Linares"/>
    <s v="Eduardo"/>
    <n v="114981"/>
    <n v="0"/>
    <n v="0"/>
    <s v="D√©bito"/>
    <s v="En Caja Operacional"/>
    <n v="343276"/>
    <m/>
    <n v="78000"/>
    <n v="65546.218487394959"/>
  </r>
  <r>
    <s v="Linares"/>
    <n v="220633"/>
    <d v="2025-12-15T15:23:42"/>
    <s v="66666666-6"/>
    <s v="Cliente LINARES Generico"/>
    <x v="1"/>
    <s v="Linares"/>
    <s v="Eduardo"/>
    <n v="150616"/>
    <n v="0"/>
    <n v="0"/>
    <s v="Efectivo"/>
    <s v="En Caja Operacional"/>
    <m/>
    <m/>
    <n v="150616"/>
    <n v="126568.06722689077"/>
  </r>
  <r>
    <s v="Geronimo Mendez"/>
    <n v="220632"/>
    <d v="2025-12-15T15:16:01"/>
    <s v="66666666-6"/>
    <s v="Cliente retail generico"/>
    <x v="17"/>
    <s v="Ventas Local"/>
    <s v="SoporteVenta"/>
    <n v="34365"/>
    <n v="0"/>
    <n v="0"/>
    <s v="D√©bito"/>
    <s v="En Caja Operacional"/>
    <n v="449024"/>
    <m/>
    <n v="34365"/>
    <n v="28878.151260504204"/>
  </r>
  <r>
    <s v="Ovalle"/>
    <n v="220631"/>
    <d v="2025-12-15T15:09:35"/>
    <s v="66666666-6"/>
    <s v="Cliente OVALLE Generico"/>
    <x v="6"/>
    <s v="Ovalle"/>
    <s v="Emilio"/>
    <n v="48027"/>
    <n v="0"/>
    <n v="0"/>
    <s v="D√©bito"/>
    <s v="En Caja Operacional"/>
    <n v="859895"/>
    <m/>
    <n v="48027"/>
    <n v="40358.823529411769"/>
  </r>
  <r>
    <s v="Antillanca"/>
    <n v="220630"/>
    <d v="2025-12-15T15:00:52"/>
    <s v="12490936-8"/>
    <s v="CLAUDIA ANDREA NARVAEZ"/>
    <x v="10"/>
    <s v="Antillanca"/>
    <s v="Nataly"/>
    <n v="146894"/>
    <n v="0"/>
    <n v="0"/>
    <s v="Transferencia"/>
    <s v="En Caja Operacional"/>
    <n v="147"/>
    <m/>
    <n v="146894"/>
    <n v="123440.33613445378"/>
  </r>
  <r>
    <s v="Antillanca"/>
    <n v="220629"/>
    <d v="2025-12-15T14:54:10"/>
    <s v="77695488-8"/>
    <s v="LUBRICENTRO MUNOZ HERMANOS SPA"/>
    <x v="12"/>
    <s v="Antillanca"/>
    <s v="Nataly"/>
    <n v="136136"/>
    <n v="0"/>
    <n v="0"/>
    <s v="Transferencia"/>
    <s v="En Caja Operacional"/>
    <n v="99"/>
    <m/>
    <n v="136136"/>
    <n v="114400"/>
  </r>
  <r>
    <s v="Antillanca"/>
    <n v="220628"/>
    <d v="2025-12-15T14:51:37"/>
    <s v="15485019-8"/>
    <s v="JAIME GREGORIO  RAMOS"/>
    <x v="12"/>
    <s v="Antillanca"/>
    <s v="Nataly"/>
    <n v="423775"/>
    <n v="0"/>
    <n v="0"/>
    <s v="Transferencia"/>
    <s v="En Caja Operacional"/>
    <n v="56"/>
    <m/>
    <n v="423775"/>
    <n v="356113.44537815126"/>
  </r>
  <r>
    <s v="Antillanca"/>
    <n v="220627"/>
    <d v="2025-12-15T14:44:58"/>
    <s v="76116965-3"/>
    <s v="AREVALO AREVALO LIMITADA"/>
    <x v="16"/>
    <s v="Antillanca"/>
    <s v="Nataly"/>
    <n v="280007"/>
    <n v="0"/>
    <n v="0"/>
    <s v="D√©bito"/>
    <s v="En Caja Operacional"/>
    <n v="9959"/>
    <m/>
    <n v="280007"/>
    <n v="235300"/>
  </r>
  <r>
    <s v="Antillanca"/>
    <n v="220626"/>
    <d v="2025-12-15T14:42:24"/>
    <s v="10398941-8"/>
    <s v="CLAUDIA ANDREA CABEZAS"/>
    <x v="9"/>
    <s v="Antillanca"/>
    <s v="Nataly"/>
    <n v="174953"/>
    <n v="0"/>
    <n v="0"/>
    <s v="Transferencia"/>
    <s v="En Caja Operacional"/>
    <n v="186"/>
    <m/>
    <n v="174953"/>
    <n v="147019.32773109243"/>
  </r>
  <r>
    <s v="Antillanca"/>
    <n v="220625"/>
    <d v="2025-12-15T14:40:04"/>
    <s v="76116965-3"/>
    <s v="AREVALO AREVALO LIMITADA"/>
    <x v="16"/>
    <s v="Antillanca"/>
    <s v="Nataly"/>
    <n v="790912"/>
    <n v="0"/>
    <n v="0"/>
    <s v="Transferencia"/>
    <s v="En Caja Operacional"/>
    <n v="162"/>
    <m/>
    <n v="790912"/>
    <n v="664631.93277310929"/>
  </r>
  <r>
    <s v="Antillanca"/>
    <n v="220624"/>
    <d v="2025-12-15T14:34:41"/>
    <s v="84730900-8"/>
    <s v="TRANSPORTES SEKULOVIC Y COMPANIA LIMITADA"/>
    <x v="13"/>
    <s v="Antillanca"/>
    <s v="Nataly"/>
    <n v="554577"/>
    <n v="0"/>
    <n v="0"/>
    <s v="Transferencia"/>
    <s v="En Caja Operacional"/>
    <n v="95"/>
    <m/>
    <n v="554577"/>
    <n v="466031.09243697481"/>
  </r>
  <r>
    <s v="Antillanca"/>
    <n v="220623"/>
    <d v="2025-12-15T14:30:19"/>
    <s v="84730900-8"/>
    <s v="TRANSPORTES SEKULOVIC Y COMPANIA LIMITADA"/>
    <x v="13"/>
    <s v="Antillanca"/>
    <s v="Nataly"/>
    <n v="1470114"/>
    <n v="0"/>
    <n v="0"/>
    <s v="Transferencia"/>
    <s v="En Caja Operacional"/>
    <n v="96"/>
    <m/>
    <n v="1470114"/>
    <n v="1235389.9159663867"/>
  </r>
  <r>
    <s v="Antillanca"/>
    <n v="220622"/>
    <d v="2025-12-15T14:26:55"/>
    <s v="17350202-8"/>
    <s v="MATIAS FIDEL SEGUEL"/>
    <x v="9"/>
    <s v="Antillanca"/>
    <s v="Nataly"/>
    <n v="345586"/>
    <n v="0"/>
    <n v="0"/>
    <s v="D√©bito"/>
    <s v="En Caja Operacional"/>
    <n v="5921"/>
    <m/>
    <n v="345586"/>
    <n v="290408.40336134454"/>
  </r>
  <r>
    <s v="Antillanca"/>
    <n v="220621"/>
    <d v="2025-12-15T14:25:21"/>
    <s v="77119757-4"/>
    <s v="M Y S ASOCIADOS SPA"/>
    <x v="9"/>
    <s v="Antillanca"/>
    <s v="Nataly"/>
    <n v="345586"/>
    <n v="0"/>
    <n v="0"/>
    <s v="D√©bito"/>
    <s v="En Caja Operacional"/>
    <n v="9264"/>
    <m/>
    <n v="345586"/>
    <n v="290408.40336134454"/>
  </r>
  <r>
    <s v="Rojas Magallanes"/>
    <n v="220620"/>
    <d v="2025-12-15T13:19:21"/>
    <s v="66666666-6"/>
    <s v="Cliente ROJAS MAGALLANES Generico"/>
    <x v="5"/>
    <s v="Rojas Magallanes"/>
    <s v="Marisol"/>
    <n v="64914"/>
    <n v="0"/>
    <n v="0"/>
    <s v="Cr√©dito"/>
    <s v="En Caja Operacional"/>
    <n v="190161"/>
    <m/>
    <n v="64914"/>
    <n v="54549.579831932773"/>
  </r>
  <r>
    <s v="Rojas Magallanes"/>
    <n v="220619"/>
    <d v="2025-12-15T13:15:57"/>
    <s v="66666666-6"/>
    <s v="Cliente ROJAS MAGALLANES Generico"/>
    <x v="5"/>
    <s v="Rojas Magallanes"/>
    <s v="Marisol"/>
    <n v="55567"/>
    <n v="0"/>
    <n v="0"/>
    <s v="D√©bito"/>
    <s v="En Caja Operacional"/>
    <n v="8601"/>
    <m/>
    <n v="55567"/>
    <n v="46694.957983193279"/>
  </r>
  <r>
    <s v="Linares"/>
    <n v="220618"/>
    <d v="2025-12-15T13:11:09"/>
    <s v="66666666-6"/>
    <s v="Cliente LINARES Generico"/>
    <x v="1"/>
    <s v="Linares"/>
    <s v="Eduardo"/>
    <n v="40852"/>
    <n v="0"/>
    <n v="0"/>
    <s v="Efectivo"/>
    <s v="En Caja Operacional"/>
    <m/>
    <m/>
    <n v="40852"/>
    <n v="34329.411764705881"/>
  </r>
  <r>
    <s v="Linares"/>
    <n v="220617"/>
    <d v="2025-12-15T12:03:03"/>
    <s v="66666666-6"/>
    <s v="Cliente LINARES Generico"/>
    <x v="1"/>
    <s v="Linares"/>
    <s v="Eduardo"/>
    <n v="6671"/>
    <n v="0"/>
    <n v="0"/>
    <s v="Efectivo"/>
    <s v="En Caja Operacional"/>
    <m/>
    <m/>
    <n v="6671"/>
    <n v="5605.8823529411766"/>
  </r>
  <r>
    <s v="Antillanca"/>
    <n v="220616"/>
    <d v="2025-12-15T11:52:03"/>
    <s v="79906540-1"/>
    <s v="CARGO TRADER SPA"/>
    <x v="9"/>
    <s v="Antillanca"/>
    <s v="Nataly"/>
    <n v="4719540"/>
    <n v="0"/>
    <n v="0"/>
    <s v="Transferencia"/>
    <s v="En Caja Operacional"/>
    <n v="180"/>
    <m/>
    <n v="2552907"/>
    <n v="2145300"/>
  </r>
  <r>
    <s v="Antillanca"/>
    <n v="220616"/>
    <d v="2025-12-15T11:52:03"/>
    <s v="79906540-1"/>
    <s v="CARGO TRADER SPA"/>
    <x v="9"/>
    <s v="Antillanca"/>
    <s v="Nataly"/>
    <n v="4719540"/>
    <n v="0"/>
    <n v="0"/>
    <s v="Transferencia"/>
    <s v="En Caja Operacional"/>
    <n v="181"/>
    <m/>
    <n v="1413720"/>
    <n v="1188000"/>
  </r>
  <r>
    <s v="Antillanca"/>
    <n v="220616"/>
    <d v="2025-12-15T11:52:03"/>
    <s v="79906540-1"/>
    <s v="CARGO TRADER SPA"/>
    <x v="9"/>
    <s v="Antillanca"/>
    <s v="Nataly"/>
    <n v="4719540"/>
    <n v="0"/>
    <n v="0"/>
    <s v="Transferencia"/>
    <s v="En Caja Operacional"/>
    <n v="182"/>
    <m/>
    <n v="752913"/>
    <n v="632700"/>
  </r>
  <r>
    <s v="Geronimo Mendez"/>
    <n v="220615"/>
    <d v="2025-12-15T11:46:16"/>
    <s v="76335362-1"/>
    <s v="SOC. TRANS. Y GRUAS JORGE CONTADOR LTDA."/>
    <x v="8"/>
    <s v="Ventas Local"/>
    <s v="SoporteVenta"/>
    <n v="5242"/>
    <n v="0"/>
    <n v="0"/>
    <s v="Efectivo"/>
    <s v="En Caja Operacional"/>
    <m/>
    <m/>
    <n v="5242"/>
    <n v="4405.042016806723"/>
  </r>
  <r>
    <s v="Linares"/>
    <n v="220614"/>
    <d v="2025-12-15T11:39:57"/>
    <s v="66666666-6"/>
    <s v="Cliente LINARES Generico"/>
    <x v="1"/>
    <s v="Linares"/>
    <s v="Eduardo"/>
    <n v="47132"/>
    <n v="0"/>
    <n v="0"/>
    <s v="Efectivo"/>
    <s v="En Caja Operacional"/>
    <m/>
    <m/>
    <n v="47132"/>
    <n v="39606.722689075636"/>
  </r>
  <r>
    <s v="Linares"/>
    <n v="220613"/>
    <d v="2025-12-15T11:36:09"/>
    <s v="66666666-6"/>
    <s v="Cliente LINARES Generico"/>
    <x v="1"/>
    <s v="Linares"/>
    <s v="Eduardo"/>
    <n v="51985"/>
    <n v="0"/>
    <n v="0"/>
    <s v="D√©bito"/>
    <s v="En Caja Operacional"/>
    <n v="8584"/>
    <m/>
    <n v="51985"/>
    <n v="43684.873949579836"/>
  </r>
  <r>
    <s v="Linares"/>
    <n v="220612"/>
    <d v="2025-12-15T11:29:09"/>
    <s v="66666666-6"/>
    <s v="Cliente LINARES Generico"/>
    <x v="1"/>
    <s v="Linares"/>
    <s v="Eduardo"/>
    <n v="31745"/>
    <n v="0"/>
    <n v="0"/>
    <s v="D√©bito"/>
    <s v="En Caja Operacional"/>
    <n v="832233"/>
    <m/>
    <n v="31745"/>
    <n v="26676.470588235294"/>
  </r>
  <r>
    <s v="Antillanca"/>
    <n v="220611"/>
    <d v="2025-12-15T11:24:28"/>
    <s v="77622400-6"/>
    <s v="SOC TRANSPORTES Y TURISMOS DEL NORTE Y COMPANIA LIMITADA"/>
    <x v="16"/>
    <s v="Antillanca"/>
    <s v="Nataly"/>
    <n v="5770492"/>
    <n v="0"/>
    <n v="0"/>
    <s v="Transferencia"/>
    <s v="En Caja Operacional"/>
    <n v="171"/>
    <m/>
    <n v="1648712"/>
    <n v="1385472.2689075631"/>
  </r>
  <r>
    <s v="Antillanca"/>
    <n v="220611"/>
    <d v="2025-12-15T11:24:28"/>
    <s v="77622400-6"/>
    <s v="SOC TRANSPORTES Y TURISMOS DEL NORTE Y COMPANIA LIMITADA"/>
    <x v="16"/>
    <s v="Antillanca"/>
    <s v="Nataly"/>
    <n v="5770492"/>
    <n v="0"/>
    <n v="0"/>
    <s v="Transferencia"/>
    <s v="En Caja Operacional"/>
    <n v="172"/>
    <m/>
    <n v="2060890"/>
    <n v="1731840.3361344538"/>
  </r>
  <r>
    <s v="Antillanca"/>
    <n v="220611"/>
    <d v="2025-12-15T11:24:28"/>
    <s v="77622400-6"/>
    <s v="SOC TRANSPORTES Y TURISMOS DEL NORTE Y COMPANIA LIMITADA"/>
    <x v="16"/>
    <s v="Antillanca"/>
    <s v="Nataly"/>
    <n v="5770492"/>
    <n v="0"/>
    <n v="0"/>
    <s v="Transferencia"/>
    <s v="En Caja Operacional"/>
    <n v="173"/>
    <m/>
    <n v="2060890"/>
    <n v="1731840.3361344538"/>
  </r>
  <r>
    <s v="Geronimo Mendez"/>
    <n v="220610"/>
    <d v="2025-12-15T11:23:41"/>
    <s v="77500195-K"/>
    <s v="GALVEZ AUTOMECANICA SPA"/>
    <x v="8"/>
    <s v="Ventas Local"/>
    <s v="SoporteVenta"/>
    <n v="14994"/>
    <n v="0"/>
    <n v="0"/>
    <s v="D√©bito"/>
    <s v="En Caja Operacional"/>
    <n v="358902"/>
    <m/>
    <n v="14994"/>
    <n v="12600"/>
  </r>
  <r>
    <s v="Antillanca"/>
    <n v="220609"/>
    <d v="2025-12-15T11:21:35"/>
    <s v="77549160-4"/>
    <s v="SERVICIOS SAN IGNACIO SPA"/>
    <x v="16"/>
    <s v="Antillanca"/>
    <s v="Nataly"/>
    <n v="6335750"/>
    <n v="0"/>
    <n v="0"/>
    <s v="Transferencia"/>
    <s v="En Caja Operacional"/>
    <n v="168"/>
    <m/>
    <n v="6335750"/>
    <n v="5324159.6638655467"/>
  </r>
  <r>
    <s v="Rojas Magallanes"/>
    <n v="220608"/>
    <d v="2025-12-15T11:19:31"/>
    <s v="66666666-6"/>
    <s v="Cliente ROJAS MAGALLANES Generico"/>
    <x v="5"/>
    <s v="Rojas Magallanes"/>
    <s v="Marisol"/>
    <n v="86254"/>
    <n v="0"/>
    <n v="0"/>
    <s v="D√©bito"/>
    <s v="En Caja Operacional"/>
    <n v="342488"/>
    <m/>
    <n v="86254"/>
    <n v="72482.352941176476"/>
  </r>
  <r>
    <s v="Linares"/>
    <n v="220607"/>
    <d v="2025-12-15T11:13:29"/>
    <s v="66666666-6"/>
    <s v="Cliente LINARES Generico"/>
    <x v="1"/>
    <s v="Linares"/>
    <s v="Eduardo"/>
    <n v="30611"/>
    <n v="0"/>
    <n v="0"/>
    <s v="D√©bito"/>
    <s v="En Caja Operacional"/>
    <n v="251763"/>
    <m/>
    <n v="30611"/>
    <n v="25723.529411764706"/>
  </r>
  <r>
    <s v="Linares"/>
    <n v="220606"/>
    <d v="2025-12-15T11:07:55"/>
    <s v="66666666-6"/>
    <s v="Cliente LINARES Generico"/>
    <x v="1"/>
    <s v="Linares"/>
    <s v="Eduardo"/>
    <n v="30636"/>
    <n v="0"/>
    <n v="0"/>
    <s v="Efectivo"/>
    <s v="En Caja Operacional"/>
    <m/>
    <m/>
    <n v="30636"/>
    <n v="25744.537815126052"/>
  </r>
  <r>
    <s v="Geronimo Mendez"/>
    <n v="220605"/>
    <d v="2025-12-15T11:01:59"/>
    <s v="66666666-6"/>
    <s v="Cliente retail generico"/>
    <x v="17"/>
    <s v="Ventas Local"/>
    <s v="SoporteVenta"/>
    <n v="44971"/>
    <n v="0"/>
    <n v="0"/>
    <s v="Efectivo"/>
    <s v="En Caja Operacional"/>
    <m/>
    <m/>
    <n v="4971"/>
    <n v="4177.3109243697481"/>
  </r>
  <r>
    <s v="Geronimo Mendez"/>
    <n v="220605"/>
    <d v="2025-12-15T11:01:59"/>
    <s v="66666666-6"/>
    <s v="Cliente retail generico"/>
    <x v="17"/>
    <s v="Ventas Local"/>
    <s v="SoporteVenta"/>
    <n v="44971"/>
    <n v="0"/>
    <n v="0"/>
    <s v="D√©bito"/>
    <s v="En Caja Operacional"/>
    <n v="896103"/>
    <m/>
    <n v="40000"/>
    <n v="33613.445378151264"/>
  </r>
  <r>
    <s v="Antillanca"/>
    <n v="220604"/>
    <d v="2025-12-15T10:54:30"/>
    <s v="76874933-7"/>
    <s v="MECANICA Y REPARACION TRANSMISION AUTOMOTRIZ CARLOS ROJAS GONZALEZ EIRL"/>
    <x v="10"/>
    <s v="Antillanca"/>
    <s v="Nataly"/>
    <n v="110356"/>
    <n v="0"/>
    <n v="0"/>
    <s v="Transferencia"/>
    <s v="En Caja Operacional"/>
    <n v="185"/>
    <m/>
    <n v="110356"/>
    <n v="92736.134453781517"/>
  </r>
  <r>
    <s v="Antillanca"/>
    <n v="220603"/>
    <d v="2025-12-15T10:51:32"/>
    <s v="11972001-K"/>
    <s v="RIGOBERTO ANTONIO MORALES FLORES"/>
    <x v="12"/>
    <s v="Antillanca"/>
    <s v="Nataly"/>
    <n v="340340"/>
    <n v="0"/>
    <n v="0"/>
    <s v="Transferencia"/>
    <s v="En Caja Operacional"/>
    <n v="61"/>
    <m/>
    <n v="340340"/>
    <n v="286000"/>
  </r>
  <r>
    <s v="Linares"/>
    <n v="220602"/>
    <d v="2025-12-15T10:50:18"/>
    <s v="66666666-6"/>
    <s v="Cliente LINARES Generico"/>
    <x v="1"/>
    <s v="Linares"/>
    <s v="Eduardo"/>
    <n v="55431"/>
    <n v="0"/>
    <n v="0"/>
    <s v="Efectivo"/>
    <s v="En Caja Operacional"/>
    <m/>
    <m/>
    <n v="55431"/>
    <n v="46580.672268907569"/>
  </r>
  <r>
    <s v="Antillanca"/>
    <n v="220601"/>
    <d v="2025-12-15T10:48:36"/>
    <s v="12776079-9"/>
    <s v="CRISTIAN ANDRES VEGA"/>
    <x v="10"/>
    <s v="Antillanca"/>
    <s v="Nataly"/>
    <n v="230735"/>
    <n v="0"/>
    <n v="0"/>
    <s v="Transferencia"/>
    <s v="En Caja Operacional"/>
    <n v="88"/>
    <m/>
    <n v="104863"/>
    <n v="88120.168067226899"/>
  </r>
  <r>
    <s v="Antillanca"/>
    <n v="220601"/>
    <d v="2025-12-15T10:48:36"/>
    <s v="12776079-9"/>
    <s v="CRISTIAN ANDRES VEGA"/>
    <x v="10"/>
    <s v="Antillanca"/>
    <s v="Nataly"/>
    <n v="230735"/>
    <n v="0"/>
    <n v="0"/>
    <s v="Transferencia"/>
    <s v="En Caja Operacional"/>
    <n v="87"/>
    <m/>
    <n v="125872"/>
    <n v="105774.78991596639"/>
  </r>
  <r>
    <s v="Linares"/>
    <n v="220600"/>
    <d v="2025-12-15T10:48:18"/>
    <s v="66666666-6"/>
    <s v="Cliente LINARES Generico"/>
    <x v="1"/>
    <s v="Linares"/>
    <s v="Eduardo"/>
    <n v="8730"/>
    <n v="0"/>
    <n v="0"/>
    <s v="Efectivo"/>
    <s v="En Caja Operacional"/>
    <m/>
    <m/>
    <n v="8730"/>
    <n v="7336.134453781513"/>
  </r>
  <r>
    <s v="Rojas Magallanes"/>
    <n v="220599"/>
    <d v="2025-12-15T10:29:51"/>
    <s v="66666666-6"/>
    <s v="Cliente ROJAS MAGALLANES Generico"/>
    <x v="5"/>
    <s v="Rojas Magallanes"/>
    <s v="Cristian"/>
    <n v="183420"/>
    <n v="0"/>
    <n v="0"/>
    <s v="D√©bito"/>
    <s v="En Caja Operacional"/>
    <n v="3694"/>
    <m/>
    <n v="183420"/>
    <n v="154134.45378151262"/>
  </r>
  <r>
    <s v="Rojas Magallanes"/>
    <n v="220598"/>
    <d v="2025-12-15T10:20:07"/>
    <s v="66666666-6"/>
    <s v="Cliente ROJAS MAGALLANES Generico"/>
    <x v="5"/>
    <s v="Rojas Magallanes"/>
    <s v="Marisol"/>
    <n v="75010"/>
    <n v="0"/>
    <n v="0"/>
    <s v="D√©bito"/>
    <s v="En Caja Operacional"/>
    <n v="194171"/>
    <m/>
    <n v="75010"/>
    <n v="63033.613445378156"/>
  </r>
  <r>
    <s v="Ovalle"/>
    <n v="220597"/>
    <d v="2025-12-15T10:19:04"/>
    <s v="66666666-6"/>
    <s v="Cliente OVALLE Generico"/>
    <x v="6"/>
    <s v="Ovalle"/>
    <s v="Emilio"/>
    <n v="6928"/>
    <n v="0"/>
    <n v="0"/>
    <s v="Efectivo"/>
    <s v="En Caja Operacional"/>
    <m/>
    <m/>
    <n v="6928"/>
    <n v="5821.8487394957983"/>
  </r>
  <r>
    <s v="Antillanca"/>
    <n v="220596"/>
    <d v="2025-12-15T10:16:48"/>
    <s v="77756681-4"/>
    <s v="IMPORTADORA Y COMERCIALIZADORA GARAJE INFINITO SPA"/>
    <x v="10"/>
    <s v="Antillanca"/>
    <s v="Nataly"/>
    <n v="204204"/>
    <n v="0"/>
    <n v="0"/>
    <s v="Transferencia"/>
    <s v="En Caja Operacional"/>
    <n v="166"/>
    <m/>
    <n v="204204"/>
    <n v="171600"/>
  </r>
  <r>
    <s v="Antillanca"/>
    <n v="220595"/>
    <d v="2025-12-15T10:13:45"/>
    <s v="11972001-K"/>
    <s v="RIGOBERTO ANTONIO MORALES FLORES"/>
    <x v="12"/>
    <s v="Antillanca"/>
    <s v="Nataly"/>
    <n v="226445"/>
    <n v="0"/>
    <n v="0"/>
    <s v="Transferencia"/>
    <s v="En Caja Operacional"/>
    <n v="157"/>
    <m/>
    <n v="226445"/>
    <n v="190289.91596638656"/>
  </r>
  <r>
    <s v="Antillanca"/>
    <n v="220594"/>
    <d v="2025-12-15T10:05:14"/>
    <s v="76742524-4"/>
    <s v="SERVICIO DE TRANSPORTE DE CARGA MIGUEL ANGEL BUSTAMANTE RUBIO EIRL"/>
    <x v="10"/>
    <s v="Antillanca"/>
    <s v="Nataly"/>
    <n v="288811"/>
    <n v="0"/>
    <n v="0"/>
    <s v="Transferencia"/>
    <s v="En Caja Operacional"/>
    <n v="163"/>
    <m/>
    <n v="288811"/>
    <n v="242698.31932773109"/>
  </r>
  <r>
    <s v="Antillanca"/>
    <n v="220593"/>
    <d v="2025-12-15T10:02:13"/>
    <s v="13835232-3"/>
    <s v="JAIME MAURICIO  PONTIGO"/>
    <x v="12"/>
    <s v="Antillanca"/>
    <s v="Nataly"/>
    <n v="105315"/>
    <n v="0"/>
    <n v="0"/>
    <s v="Transferencia"/>
    <s v="En Caja Operacional"/>
    <n v="72"/>
    <m/>
    <n v="105315"/>
    <n v="88500"/>
  </r>
  <r>
    <s v="Linares"/>
    <n v="220592"/>
    <d v="2025-12-15T09:50:09"/>
    <s v="66666666-6"/>
    <s v="Cliente LINARES Generico"/>
    <x v="1"/>
    <s v="Linares"/>
    <s v="Eduardo"/>
    <n v="24213"/>
    <n v="0"/>
    <n v="0"/>
    <s v="Efectivo"/>
    <s v="En Caja Operacional"/>
    <m/>
    <m/>
    <n v="24213"/>
    <n v="20347.058823529413"/>
  </r>
  <r>
    <s v="Ovalle"/>
    <n v="220591"/>
    <d v="2025-12-15T09:46:02"/>
    <s v="66666666-6"/>
    <s v="Cliente OVALLE Generico"/>
    <x v="6"/>
    <s v="Ovalle"/>
    <s v="Emilio"/>
    <n v="46875"/>
    <n v="0"/>
    <n v="0"/>
    <s v="Efectivo"/>
    <s v="En Caja Operacional"/>
    <m/>
    <m/>
    <n v="46875"/>
    <n v="39390.756302521011"/>
  </r>
  <r>
    <s v="Geronimo Mendez"/>
    <n v="220590"/>
    <d v="2025-12-15T09:38:26"/>
    <s v="10478936-6"/>
    <s v="JORGE GALLARDO"/>
    <x v="8"/>
    <s v="Ventas Local"/>
    <s v="SoporteVenta"/>
    <n v="1216415"/>
    <n v="0"/>
    <n v="0"/>
    <s v="Cheque"/>
    <s v="En Caja Operacional"/>
    <n v="2127"/>
    <d v="2026-01-15T00:00:00"/>
    <n v="416415"/>
    <n v="349928.57142857142"/>
  </r>
  <r>
    <s v="Geronimo Mendez"/>
    <n v="220590"/>
    <d v="2025-12-15T09:38:26"/>
    <s v="10478936-6"/>
    <s v="JORGE GALLARDO"/>
    <x v="8"/>
    <s v="Ventas Local"/>
    <s v="SoporteVenta"/>
    <n v="1216415"/>
    <n v="0"/>
    <n v="0"/>
    <s v="Cheque"/>
    <s v="En Caja Operacional"/>
    <n v="2128"/>
    <d v="2026-02-15T00:00:00"/>
    <n v="400000"/>
    <n v="336134.45378151262"/>
  </r>
  <r>
    <s v="Geronimo Mendez"/>
    <n v="220590"/>
    <d v="2025-12-15T09:38:26"/>
    <s v="10478936-6"/>
    <s v="JORGE GALLARDO"/>
    <x v="8"/>
    <s v="Ventas Local"/>
    <s v="SoporteVenta"/>
    <n v="1216415"/>
    <n v="0"/>
    <n v="0"/>
    <s v="Cheque"/>
    <s v="En Caja Operacional"/>
    <n v="2129"/>
    <d v="2026-03-15T00:00:00"/>
    <n v="400000"/>
    <n v="336134.45378151262"/>
  </r>
  <r>
    <s v="Linares"/>
    <n v="220589"/>
    <d v="2025-12-15T09:35:39"/>
    <s v="66666666-6"/>
    <s v="Cliente LINARES Generico"/>
    <x v="1"/>
    <s v="Linares"/>
    <s v="Eduardo"/>
    <n v="39597"/>
    <n v="0"/>
    <n v="0"/>
    <s v="D√©bito"/>
    <s v="En Caja Operacional"/>
    <n v="1490"/>
    <m/>
    <n v="39597"/>
    <n v="33274.789915966387"/>
  </r>
  <r>
    <s v="Linares"/>
    <n v="220588"/>
    <d v="2025-12-15T09:25:17"/>
    <s v="78070897-2"/>
    <s v="TRANSPORTES FRL SPA"/>
    <x v="1"/>
    <s v="Linares"/>
    <s v="Eduardo"/>
    <n v="45707"/>
    <n v="0"/>
    <n v="0"/>
    <s v="D√©bito"/>
    <s v="En Caja Operacional"/>
    <n v="442210"/>
    <m/>
    <n v="45707"/>
    <n v="38409.243697478996"/>
  </r>
  <r>
    <s v="Linares"/>
    <n v="220587"/>
    <d v="2025-12-13T13:06:42"/>
    <s v="66666666-6"/>
    <s v="Cliente LINARES Generico"/>
    <x v="1"/>
    <s v="Linares"/>
    <s v="Eduardo"/>
    <n v="68272"/>
    <n v="0"/>
    <n v="0"/>
    <s v="D√©bito"/>
    <s v="En Caja Operacional"/>
    <n v="3495"/>
    <m/>
    <n v="68272"/>
    <n v="57371.428571428572"/>
  </r>
  <r>
    <s v="Rojas Magallanes"/>
    <n v="220586"/>
    <d v="2025-12-13T12:21:40"/>
    <s v="66666666-6"/>
    <s v="Cliente ROJAS MAGALLANES Generico"/>
    <x v="5"/>
    <s v="Rojas Magallanes"/>
    <s v="Marisol"/>
    <n v="141188"/>
    <n v="0"/>
    <n v="0"/>
    <s v="D√©bito"/>
    <s v="En Caja Operacional"/>
    <n v="104589"/>
    <m/>
    <n v="141188"/>
    <n v="118645.37815126051"/>
  </r>
  <r>
    <s v="Linares"/>
    <n v="220585"/>
    <d v="2025-12-13T12:19:24"/>
    <s v="66666666-6"/>
    <s v="Cliente LINARES Generico"/>
    <x v="1"/>
    <s v="Linares"/>
    <s v="Eduardo"/>
    <n v="52094"/>
    <n v="0"/>
    <n v="0"/>
    <s v="Efectivo"/>
    <s v="En Caja Operacional"/>
    <m/>
    <m/>
    <n v="52094"/>
    <n v="43776.470588235294"/>
  </r>
  <r>
    <s v="Ovalle"/>
    <n v="220584"/>
    <d v="2025-12-13T12:18:45"/>
    <s v="66666666-6"/>
    <s v="Cliente OVALLE Generico"/>
    <x v="6"/>
    <s v="Ovalle"/>
    <s v="Emilio"/>
    <n v="203796"/>
    <n v="0"/>
    <n v="0"/>
    <s v="Efectivo"/>
    <s v="En Caja Operacional"/>
    <m/>
    <m/>
    <n v="203796"/>
    <n v="171257.14285714287"/>
  </r>
  <r>
    <s v="Ovalle"/>
    <n v="220583"/>
    <d v="2025-12-13T12:17:38"/>
    <s v="66666666-6"/>
    <s v="Cliente OVALLE Generico"/>
    <x v="6"/>
    <s v="Ovalle"/>
    <s v="Emilio"/>
    <n v="25201"/>
    <n v="0"/>
    <n v="0"/>
    <s v="Cr√©dito"/>
    <s v="En Caja Operacional"/>
    <n v="120868"/>
    <m/>
    <n v="25201"/>
    <n v="21177.310924369747"/>
  </r>
  <r>
    <s v="Rojas Magallanes"/>
    <n v="220582"/>
    <d v="2025-12-13T12:12:19"/>
    <s v="66666666-6"/>
    <s v="Cliente ROJAS MAGALLANES Generico"/>
    <x v="5"/>
    <s v="Rojas Magallanes"/>
    <s v="Cristian"/>
    <n v="52188"/>
    <n v="0"/>
    <n v="0"/>
    <s v="D√©bito"/>
    <s v="En Caja Operacional"/>
    <n v="3950"/>
    <m/>
    <n v="52188"/>
    <n v="43855.462184873948"/>
  </r>
  <r>
    <s v="Linares"/>
    <n v="220581"/>
    <d v="2025-12-13T12:10:38"/>
    <s v="66666666-6"/>
    <s v="Cliente LINARES Generico"/>
    <x v="1"/>
    <s v="Linares"/>
    <s v="Eduardo"/>
    <n v="39824"/>
    <n v="0"/>
    <n v="0"/>
    <s v="Efectivo"/>
    <s v="En Caja Operacional"/>
    <m/>
    <m/>
    <n v="39824"/>
    <n v="33465.546218487398"/>
  </r>
  <r>
    <s v="Linares"/>
    <n v="220580"/>
    <d v="2025-12-13T11:53:28"/>
    <s v="66666666-6"/>
    <s v="Cliente LINARES Generico"/>
    <x v="1"/>
    <s v="Linares"/>
    <s v="Eduardo"/>
    <n v="52601"/>
    <n v="0"/>
    <n v="0"/>
    <s v="D√©bito"/>
    <s v="En Caja Operacional"/>
    <n v="217691"/>
    <m/>
    <n v="52601"/>
    <n v="44202.521008403361"/>
  </r>
  <r>
    <s v="Linares"/>
    <n v="220579"/>
    <d v="2025-12-13T11:30:45"/>
    <s v="9262987-2"/>
    <s v="EDUARDO ENRIQUE PONCE"/>
    <x v="1"/>
    <s v="Linares"/>
    <s v="Eduardo"/>
    <n v="81878"/>
    <n v="0"/>
    <n v="0"/>
    <s v="Efectivo"/>
    <s v="En Caja Operacional"/>
    <m/>
    <m/>
    <n v="32949"/>
    <n v="27688.235294117647"/>
  </r>
  <r>
    <s v="Linares"/>
    <n v="220579"/>
    <d v="2025-12-13T11:30:45"/>
    <s v="9262987-2"/>
    <s v="EDUARDO ENRIQUE PONCE"/>
    <x v="1"/>
    <s v="Linares"/>
    <s v="Eduardo"/>
    <n v="81878"/>
    <n v="0"/>
    <n v="0"/>
    <s v="D√©bito"/>
    <s v="En Caja Operacional"/>
    <n v="270853"/>
    <m/>
    <n v="48929"/>
    <n v="41116.806722689078"/>
  </r>
  <r>
    <s v="Rojas Magallanes"/>
    <n v="220578"/>
    <d v="2025-12-13T11:29:49"/>
    <s v="66666666-6"/>
    <s v="Cliente ROJAS MAGALLANES Generico"/>
    <x v="5"/>
    <s v="Rojas Magallanes"/>
    <s v="Marisol"/>
    <n v="31950"/>
    <n v="0"/>
    <n v="0"/>
    <s v="Efectivo"/>
    <s v="En Caja Operacional"/>
    <m/>
    <m/>
    <n v="31950"/>
    <n v="26848.73949579832"/>
  </r>
  <r>
    <s v="Linares"/>
    <n v="220577"/>
    <d v="2025-12-13T11:14:57"/>
    <s v="66666666-6"/>
    <s v="Cliente LINARES Generico"/>
    <x v="1"/>
    <s v="Linares"/>
    <s v="Eduardo"/>
    <n v="24213"/>
    <n v="0"/>
    <n v="0"/>
    <s v="D√©bito"/>
    <s v="En Caja Operacional"/>
    <n v="403646"/>
    <m/>
    <n v="24213"/>
    <n v="20347.058823529413"/>
  </r>
  <r>
    <s v="Geronimo Mendez"/>
    <n v="220576"/>
    <d v="2025-12-13T11:03:19"/>
    <s v="76102005-6"/>
    <s v="ROBERTO ANTONIO VELASQUEZ E.I.R.L."/>
    <x v="8"/>
    <s v="Ventas Local"/>
    <s v="SoporteVenta"/>
    <n v="319158"/>
    <n v="0"/>
    <n v="0"/>
    <s v="Cr√©dito"/>
    <s v="En Caja Operacional"/>
    <n v="852607"/>
    <m/>
    <n v="319158"/>
    <n v="268200"/>
  </r>
  <r>
    <s v="Geronimo Mendez"/>
    <n v="220575"/>
    <d v="2025-12-13T10:57:51"/>
    <s v="76102005-6"/>
    <s v="ROBERTO ANTONIO VELASQUEZ E.I.R.L."/>
    <x v="8"/>
    <s v="Ventas Local"/>
    <s v="SoporteVenta"/>
    <n v="680521"/>
    <n v="0"/>
    <n v="0"/>
    <s v="Cheque"/>
    <s v="En Caja Operacional"/>
    <n v="4213312"/>
    <d v="2026-01-13T00:00:00"/>
    <n v="680521"/>
    <n v="571866.38655462186"/>
  </r>
  <r>
    <s v="Rojas Magallanes"/>
    <n v="220574"/>
    <d v="2025-12-13T10:53:28"/>
    <s v="66666666-6"/>
    <s v="Cliente ROJAS MAGALLANES Generico"/>
    <x v="5"/>
    <s v="Rojas Magallanes"/>
    <s v="Marisol"/>
    <n v="157836"/>
    <n v="0"/>
    <n v="0"/>
    <s v="Cr√©dito"/>
    <s v="En Caja Operacional"/>
    <n v="4679"/>
    <m/>
    <n v="157836"/>
    <n v="132635.29411764708"/>
  </r>
  <r>
    <s v="Geronimo Mendez"/>
    <n v="220573"/>
    <d v="2025-12-13T10:39:30"/>
    <s v="66666666-6"/>
    <s v="Cliente retail generico"/>
    <x v="17"/>
    <s v="Ventas Local"/>
    <s v="SoporteVenta"/>
    <n v="236174"/>
    <n v="0"/>
    <n v="0"/>
    <s v="D√©bito"/>
    <s v="En Caja Operacional"/>
    <n v="846646"/>
    <m/>
    <n v="236174"/>
    <n v="198465.5462184874"/>
  </r>
  <r>
    <s v="Ovalle"/>
    <n v="220572"/>
    <d v="2025-12-13T10:38:28"/>
    <s v="66666666-6"/>
    <s v="Cliente OVALLE Generico"/>
    <x v="6"/>
    <s v="Ovalle"/>
    <s v="Emilio"/>
    <n v="72268"/>
    <n v="0"/>
    <n v="0"/>
    <s v="D√©bito"/>
    <s v="En Caja Operacional"/>
    <n v="734183"/>
    <m/>
    <n v="72268"/>
    <n v="60729.411764705888"/>
  </r>
  <r>
    <s v="Linares"/>
    <n v="220571"/>
    <d v="2025-12-13T10:28:24"/>
    <s v="66666666-6"/>
    <s v="Cliente LINARES Generico"/>
    <x v="1"/>
    <s v="Linares"/>
    <s v="Eduardo"/>
    <n v="46612"/>
    <n v="0"/>
    <n v="0"/>
    <s v="D√©bito"/>
    <s v="En Caja Operacional"/>
    <n v="55"/>
    <m/>
    <n v="46612"/>
    <n v="39169.747899159665"/>
  </r>
  <r>
    <s v="Ovalle"/>
    <n v="220570"/>
    <d v="2025-12-13T10:18:03"/>
    <s v="66666666-6"/>
    <s v="Cliente OVALLE Generico"/>
    <x v="6"/>
    <s v="Ovalle"/>
    <s v="Emilio"/>
    <n v="61826"/>
    <n v="0"/>
    <n v="0"/>
    <s v="Efectivo"/>
    <s v="En Caja Operacional"/>
    <m/>
    <m/>
    <n v="61826"/>
    <n v="51954.621848739502"/>
  </r>
  <r>
    <s v="Ovalle"/>
    <n v="220569"/>
    <d v="2025-12-13T10:14:06"/>
    <s v="66666666-6"/>
    <s v="Cliente OVALLE Generico"/>
    <x v="6"/>
    <s v="Ovalle"/>
    <s v="Emilio"/>
    <n v="61826"/>
    <n v="0"/>
    <n v="0"/>
    <s v="D√©bito"/>
    <s v="En Caja Operacional"/>
    <n v="133865"/>
    <m/>
    <n v="61826"/>
    <n v="51954.621848739502"/>
  </r>
  <r>
    <s v="Linares"/>
    <n v="220568"/>
    <d v="2025-12-13T10:05:23"/>
    <s v="66666666-6"/>
    <s v="Cliente LINARES Generico"/>
    <x v="1"/>
    <s v="Linares"/>
    <s v="Eduardo"/>
    <n v="31251"/>
    <n v="0"/>
    <n v="0"/>
    <s v="D√©bito"/>
    <s v="En Caja Operacional"/>
    <n v="454874"/>
    <m/>
    <n v="31251"/>
    <n v="26261.344537815126"/>
  </r>
  <r>
    <s v="Linares"/>
    <n v="220567"/>
    <d v="2025-12-13T10:02:27"/>
    <s v="66666666-6"/>
    <s v="Cliente LINARES Generico"/>
    <x v="1"/>
    <s v="Linares"/>
    <s v="Eduardo"/>
    <n v="31350"/>
    <n v="0"/>
    <n v="0"/>
    <s v="Efectivo"/>
    <s v="En Caja Operacional"/>
    <m/>
    <m/>
    <n v="31350"/>
    <n v="26344.537815126052"/>
  </r>
  <r>
    <s v="Geronimo Mendez"/>
    <n v="220566"/>
    <d v="2025-12-13T09:55:56"/>
    <s v="76752965-1"/>
    <s v="TRANSPORTE Y LOGISTICA TERRA NORTE SPA"/>
    <x v="8"/>
    <s v="Ventas Local"/>
    <s v="SoporteVenta"/>
    <n v="95319"/>
    <n v="0"/>
    <n v="0"/>
    <s v="D√©bito"/>
    <s v="En Caja Operacional"/>
    <n v="441923"/>
    <m/>
    <n v="95319"/>
    <n v="80100"/>
  </r>
  <r>
    <s v="Ovalle"/>
    <n v="220565"/>
    <d v="2025-12-13T09:50:42"/>
    <s v="66666666-6"/>
    <s v="Cliente OVALLE Generico"/>
    <x v="6"/>
    <s v="Ovalle"/>
    <s v="Emilio"/>
    <n v="63705"/>
    <n v="0"/>
    <n v="0"/>
    <s v="D√©bito"/>
    <s v="En Caja Operacional"/>
    <n v="15975"/>
    <m/>
    <n v="63705"/>
    <n v="53533.613445378156"/>
  </r>
  <r>
    <s v="Linares"/>
    <n v="220564"/>
    <d v="2025-12-13T09:32:49"/>
    <s v="66666666-6"/>
    <s v="Cliente LINARES Generico"/>
    <x v="1"/>
    <s v="Linares"/>
    <s v="Eduardo"/>
    <n v="30636"/>
    <n v="0"/>
    <n v="0"/>
    <s v="D√©bito"/>
    <s v="En Caja Operacional"/>
    <n v="3808"/>
    <m/>
    <n v="30636"/>
    <n v="25744.537815126052"/>
  </r>
  <r>
    <s v="Linares"/>
    <n v="220563"/>
    <d v="2025-12-13T09:15:53"/>
    <s v="66666666-6"/>
    <s v="Cliente LINARES Generico"/>
    <x v="1"/>
    <s v="Linares"/>
    <s v="Eduardo"/>
    <n v="150020"/>
    <n v="0"/>
    <n v="0"/>
    <s v="Efectivo"/>
    <s v="En Caja Operacional"/>
    <m/>
    <m/>
    <n v="100020"/>
    <n v="84050.420168067227"/>
  </r>
  <r>
    <s v="Linares"/>
    <n v="220563"/>
    <d v="2025-12-13T09:15:53"/>
    <s v="66666666-6"/>
    <s v="Cliente LINARES Generico"/>
    <x v="1"/>
    <s v="Linares"/>
    <s v="Eduardo"/>
    <n v="150020"/>
    <n v="0"/>
    <n v="0"/>
    <s v="D√©bito"/>
    <s v="En Caja Operacional"/>
    <n v="8734"/>
    <m/>
    <n v="50000"/>
    <n v="42016.806722689078"/>
  </r>
  <r>
    <s v="Geronimo Mendez"/>
    <n v="220562"/>
    <d v="2025-12-12T17:21:34"/>
    <s v="66666666-6"/>
    <s v="Cliente retail generico"/>
    <x v="17"/>
    <s v="Ventas Local"/>
    <s v="SoporteVenta"/>
    <n v="30446"/>
    <n v="0"/>
    <n v="0"/>
    <s v="Cr√©dito"/>
    <s v="En Caja Operacional"/>
    <n v="907741"/>
    <m/>
    <n v="30446"/>
    <n v="25584.873949579833"/>
  </r>
  <r>
    <s v="Linares"/>
    <n v="220561"/>
    <d v="2025-12-12T17:21:29"/>
    <s v="66666666-6"/>
    <s v="Cliente LINARES Generico"/>
    <x v="1"/>
    <s v="Linares"/>
    <s v="Eduardo"/>
    <n v="56787"/>
    <n v="0"/>
    <n v="0"/>
    <s v="D√©bito"/>
    <s v="En Caja Operacional"/>
    <n v="45767"/>
    <m/>
    <n v="56787"/>
    <n v="47720.168067226892"/>
  </r>
  <r>
    <s v="Linares"/>
    <n v="220560"/>
    <d v="2025-12-12T17:07:38"/>
    <s v="66666666-6"/>
    <s v="Cliente LINARES Generico"/>
    <x v="1"/>
    <s v="Linares"/>
    <s v="Eduardo"/>
    <n v="5760"/>
    <n v="0"/>
    <n v="0"/>
    <s v="Efectivo"/>
    <s v="En Caja Operacional"/>
    <m/>
    <m/>
    <n v="5760"/>
    <n v="4840.3361344537816"/>
  </r>
  <r>
    <s v="Rojas Magallanes"/>
    <n v="220559"/>
    <d v="2025-12-12T17:06:49"/>
    <s v="66666666-6"/>
    <s v="Cliente ROJAS MAGALLANES Generico"/>
    <x v="5"/>
    <s v="Rojas Magallanes"/>
    <s v="Marisol"/>
    <n v="44868"/>
    <n v="0"/>
    <n v="0"/>
    <s v="Cr√©dito"/>
    <s v="En Caja Operacional"/>
    <n v="311126"/>
    <m/>
    <n v="44868"/>
    <n v="37704.201680672268"/>
  </r>
  <r>
    <s v="Rojas Magallanes"/>
    <n v="220558"/>
    <d v="2025-12-12T17:04:30"/>
    <s v="66666666-6"/>
    <s v="Cliente ROJAS MAGALLANES Generico"/>
    <x v="5"/>
    <s v="Rojas Magallanes"/>
    <s v="Marisol"/>
    <n v="25715"/>
    <n v="0"/>
    <n v="0"/>
    <s v="D√©bito"/>
    <s v="En Caja Operacional"/>
    <n v="400471"/>
    <m/>
    <n v="25715"/>
    <n v="21609.243697478993"/>
  </r>
  <r>
    <s v="Linares"/>
    <n v="220557"/>
    <d v="2025-12-12T16:58:57"/>
    <s v="66666666-6"/>
    <s v="Cliente LINARES Generico"/>
    <x v="1"/>
    <s v="Linares"/>
    <s v="Eduardo"/>
    <n v="30446"/>
    <n v="0"/>
    <n v="0"/>
    <s v="Efectivo"/>
    <s v="En Caja Operacional"/>
    <m/>
    <m/>
    <n v="30446"/>
    <n v="25584.873949579833"/>
  </r>
  <r>
    <s v="Linares"/>
    <n v="220556"/>
    <d v="2025-12-12T16:48:06"/>
    <s v="66666666-6"/>
    <s v="Cliente LINARES Generico"/>
    <x v="1"/>
    <s v="Linares"/>
    <s v="Eduardo"/>
    <n v="87941"/>
    <n v="0"/>
    <n v="0"/>
    <s v="D√©bito"/>
    <s v="En Caja Operacional"/>
    <n v="734810"/>
    <m/>
    <n v="87941"/>
    <n v="73900"/>
  </r>
  <r>
    <s v="Geronimo Mendez"/>
    <n v="220555"/>
    <d v="2025-12-12T16:40:06"/>
    <s v="77767537-0"/>
    <s v="LUBRICENTRO ROBINSON SPA"/>
    <x v="4"/>
    <s v="Ventas Local"/>
    <s v="SoporteVenta"/>
    <n v="382834"/>
    <n v="0"/>
    <n v="0"/>
    <s v="Transferencia"/>
    <s v="En Caja Operacional"/>
    <n v="275705"/>
    <m/>
    <n v="382834"/>
    <n v="321709.24369747902"/>
  </r>
  <r>
    <s v="Linares"/>
    <n v="220554"/>
    <d v="2025-12-12T16:33:13"/>
    <s v="66666666-6"/>
    <s v="Cliente LINARES Generico"/>
    <x v="1"/>
    <s v="Linares"/>
    <s v="Eduardo"/>
    <n v="31745"/>
    <n v="0"/>
    <n v="0"/>
    <s v="D√©bito"/>
    <s v="En Caja Operacional"/>
    <n v="63509"/>
    <m/>
    <n v="31745"/>
    <n v="26676.470588235294"/>
  </r>
  <r>
    <s v="Linares"/>
    <n v="220553"/>
    <d v="2025-12-12T16:25:40"/>
    <s v="66666666-6"/>
    <s v="Cliente LINARES Generico"/>
    <x v="1"/>
    <s v="Linares"/>
    <s v="Eduardo"/>
    <n v="33180"/>
    <n v="0"/>
    <n v="0"/>
    <s v="Efectivo"/>
    <s v="En Caja Operacional"/>
    <m/>
    <m/>
    <n v="33180"/>
    <n v="27882.352941176472"/>
  </r>
  <r>
    <s v="Ovalle"/>
    <n v="220552"/>
    <d v="2025-12-12T16:13:51"/>
    <s v="78209264-2"/>
    <s v="COMERCIAL Y AGRICOLA LAGUNA DEL ALGARROBO SPA"/>
    <x v="6"/>
    <s v="Ovalle"/>
    <s v="Emilio"/>
    <n v="129898"/>
    <n v="0"/>
    <n v="0"/>
    <s v="Efectivo"/>
    <s v="En Caja Operacional"/>
    <m/>
    <m/>
    <n v="100000"/>
    <n v="84033.613445378156"/>
  </r>
  <r>
    <s v="Ovalle"/>
    <n v="220552"/>
    <d v="2025-12-12T16:13:51"/>
    <s v="78209264-2"/>
    <s v="COMERCIAL Y AGRICOLA LAGUNA DEL ALGARROBO SPA"/>
    <x v="6"/>
    <s v="Ovalle"/>
    <s v="Emilio"/>
    <n v="129898"/>
    <n v="0"/>
    <n v="0"/>
    <s v="D√©bito"/>
    <s v="En Caja Operacional"/>
    <n v="320393"/>
    <m/>
    <n v="29898"/>
    <n v="25124.36974789916"/>
  </r>
  <r>
    <s v="Linares"/>
    <n v="220551"/>
    <d v="2025-12-12T16:13:40"/>
    <s v="66666666-6"/>
    <s v="Cliente LINARES Generico"/>
    <x v="1"/>
    <s v="Linares"/>
    <s v="Eduardo"/>
    <n v="28223"/>
    <n v="0"/>
    <n v="0"/>
    <s v="D√©bito"/>
    <s v="En Caja Operacional"/>
    <n v="253600"/>
    <m/>
    <n v="28223"/>
    <n v="23716.806722689078"/>
  </r>
  <r>
    <s v="Linares"/>
    <n v="220550"/>
    <d v="2025-12-12T16:08:18"/>
    <s v="66666666-6"/>
    <s v="Cliente LINARES Generico"/>
    <x v="1"/>
    <s v="Linares"/>
    <s v="Eduardo"/>
    <n v="56636"/>
    <n v="0"/>
    <n v="285"/>
    <s v="D√©bito"/>
    <s v="En Caja Operacional"/>
    <n v="545189"/>
    <m/>
    <n v="30636"/>
    <n v="25744.537815126052"/>
  </r>
  <r>
    <s v="Linares"/>
    <n v="220550"/>
    <d v="2025-12-12T16:08:18"/>
    <s v="66666666-6"/>
    <s v="Cliente LINARES Generico"/>
    <x v="1"/>
    <s v="Linares"/>
    <s v="Eduardo"/>
    <n v="56636"/>
    <n v="0"/>
    <n v="285"/>
    <s v="D√©bito"/>
    <s v="En Caja Operacional"/>
    <n v="830194"/>
    <m/>
    <n v="26000"/>
    <n v="21848.73949579832"/>
  </r>
  <r>
    <s v="Geronimo Mendez"/>
    <n v="220549"/>
    <d v="2025-12-12T16:00:11"/>
    <s v="11422120-1"/>
    <s v="CARLOS AGUILERA"/>
    <x v="8"/>
    <s v="Ventas Local"/>
    <s v="SoporteVenta"/>
    <n v="310985"/>
    <n v="0"/>
    <n v="0"/>
    <s v="Efectivo"/>
    <s v="En Caja Operacional"/>
    <m/>
    <m/>
    <n v="140985"/>
    <n v="118474.78991596639"/>
  </r>
  <r>
    <s v="Geronimo Mendez"/>
    <n v="220549"/>
    <d v="2025-12-12T16:00:11"/>
    <s v="11422120-1"/>
    <s v="CARLOS AGUILERA"/>
    <x v="8"/>
    <s v="Ventas Local"/>
    <s v="SoporteVenta"/>
    <n v="310985"/>
    <n v="0"/>
    <n v="0"/>
    <s v="D√©bito"/>
    <s v="En Caja Operacional"/>
    <n v="800419"/>
    <m/>
    <n v="170000"/>
    <n v="142857.14285714287"/>
  </r>
  <r>
    <s v="Linares"/>
    <n v="220548"/>
    <d v="2025-12-12T15:57:01"/>
    <s v="6276438-4"/>
    <s v="IVAR TORRES"/>
    <x v="8"/>
    <s v="Linares"/>
    <s v="Eduardo"/>
    <n v="229649"/>
    <n v="0"/>
    <n v="0"/>
    <s v="D√©bito"/>
    <s v="En Caja Operacional"/>
    <n v="905330"/>
    <m/>
    <n v="229649"/>
    <n v="192982.35294117648"/>
  </r>
  <r>
    <s v="Geronimo Mendez"/>
    <n v="220547"/>
    <d v="2025-12-12T15:51:58"/>
    <s v="76865290-2"/>
    <s v="ALVARO BARRAZA Y CIA. LTDA."/>
    <x v="8"/>
    <s v="Ventas Local"/>
    <s v="SoporteVenta"/>
    <n v="268108"/>
    <n v="0"/>
    <n v="0"/>
    <s v="Transferencia"/>
    <s v="En Caja Operacional"/>
    <n v="176"/>
    <m/>
    <n v="268108"/>
    <n v="225300.84033613445"/>
  </r>
  <r>
    <s v="Ovalle"/>
    <n v="220546"/>
    <d v="2025-12-12T15:39:03"/>
    <s v="9504249-K"/>
    <s v="NEMECIO YA√ëEZ"/>
    <x v="8"/>
    <s v="Ovalle"/>
    <s v="Emilio"/>
    <n v="288276"/>
    <n v="0"/>
    <n v="1"/>
    <s v="Cheque"/>
    <s v="En Caja Operacional"/>
    <n v="33613"/>
    <d v="2026-01-11T00:00:00"/>
    <n v="72069"/>
    <n v="60562.184873949584"/>
  </r>
  <r>
    <s v="Ovalle"/>
    <n v="220546"/>
    <d v="2025-12-12T15:39:03"/>
    <s v="9504249-K"/>
    <s v="NEMECIO YA√ëEZ"/>
    <x v="8"/>
    <s v="Ovalle"/>
    <s v="Emilio"/>
    <n v="288276"/>
    <n v="0"/>
    <n v="1"/>
    <s v="Cheque"/>
    <s v="En Caja Operacional"/>
    <n v="33614"/>
    <d v="2026-02-11T00:00:00"/>
    <n v="72069"/>
    <n v="60562.184873949584"/>
  </r>
  <r>
    <s v="Ovalle"/>
    <n v="220546"/>
    <d v="2025-12-12T15:39:03"/>
    <s v="9504249-K"/>
    <s v="NEMECIO YA√ëEZ"/>
    <x v="8"/>
    <s v="Ovalle"/>
    <s v="Emilio"/>
    <n v="288276"/>
    <n v="0"/>
    <n v="1"/>
    <s v="Cheque"/>
    <s v="En Caja Operacional"/>
    <n v="33615"/>
    <d v="2026-03-11T00:00:00"/>
    <n v="72069"/>
    <n v="60562.184873949584"/>
  </r>
  <r>
    <s v="Ovalle"/>
    <n v="220546"/>
    <d v="2025-12-12T15:39:03"/>
    <s v="9504249-K"/>
    <s v="NEMECIO YA√ëEZ"/>
    <x v="8"/>
    <s v="Ovalle"/>
    <s v="Emilio"/>
    <n v="288276"/>
    <n v="0"/>
    <n v="1"/>
    <s v="Cheque"/>
    <s v="En Caja Operacional"/>
    <n v="33616"/>
    <d v="2026-04-11T00:00:00"/>
    <n v="72069"/>
    <n v="60562.184873949584"/>
  </r>
  <r>
    <s v="Ovalle"/>
    <n v="220545"/>
    <d v="2025-12-12T15:31:47"/>
    <s v="78209264-2"/>
    <s v="COMERCIAL Y AGRICOLA LAGUNA DEL ALGARROBO SPA"/>
    <x v="6"/>
    <s v="Ovalle"/>
    <s v="Emilio"/>
    <n v="251028"/>
    <n v="0"/>
    <n v="0"/>
    <s v="Efectivo"/>
    <s v="En Caja Operacional"/>
    <m/>
    <m/>
    <n v="251028"/>
    <n v="210947.89915966388"/>
  </r>
  <r>
    <s v="Ovalle"/>
    <n v="220544"/>
    <d v="2025-12-12T14:38:38"/>
    <s v="66666666-6"/>
    <s v="Cliente OVALLE Generico"/>
    <x v="6"/>
    <s v="Ovalle"/>
    <s v="Emilio"/>
    <n v="4921"/>
    <n v="0"/>
    <n v="0"/>
    <s v="Efectivo"/>
    <s v="En Caja Operacional"/>
    <m/>
    <m/>
    <n v="4921"/>
    <n v="4135.2941176470586"/>
  </r>
  <r>
    <s v="Rojas Magallanes"/>
    <n v="220543"/>
    <d v="2025-12-12T14:01:48"/>
    <s v="66666666-6"/>
    <s v="Cliente ROJAS MAGALLANES Generico"/>
    <x v="5"/>
    <s v="Rojas Magallanes"/>
    <s v="Marisol"/>
    <n v="4921"/>
    <n v="0"/>
    <n v="0"/>
    <s v="D√©bito"/>
    <s v="En Caja Operacional"/>
    <n v="50702"/>
    <m/>
    <n v="4921"/>
    <n v="4135.2941176470586"/>
  </r>
  <r>
    <s v="Rojas Magallanes"/>
    <n v="220542"/>
    <d v="2025-12-12T13:21:23"/>
    <s v="76742344-6"/>
    <s v="AMSTORE SPA"/>
    <x v="5"/>
    <s v="Rojas Magallanes"/>
    <s v="Marisol"/>
    <n v="54565"/>
    <n v="0"/>
    <n v="0"/>
    <s v="D√©bito"/>
    <s v="En Caja Operacional"/>
    <n v="24862"/>
    <m/>
    <n v="54565"/>
    <n v="45852.941176470587"/>
  </r>
  <r>
    <s v="Geronimo Mendez"/>
    <n v="220541"/>
    <d v="2025-12-12T13:15:58"/>
    <s v="77331017-3"/>
    <s v="SERVICIOS INTEGRALES DE MECANICA AUTOMOTRIZ SPA"/>
    <x v="14"/>
    <s v="Ventas Local"/>
    <s v="SoporteVenta"/>
    <n v="270610"/>
    <n v="0"/>
    <n v="0"/>
    <s v="Efectivo"/>
    <s v="En Caja Operacional"/>
    <m/>
    <m/>
    <n v="270610"/>
    <n v="227403.36134453781"/>
  </r>
  <r>
    <s v="Geronimo Mendez"/>
    <n v="220540"/>
    <d v="2025-12-12T12:59:18"/>
    <s v="66666666-6"/>
    <s v="Cliente retail generico"/>
    <x v="17"/>
    <s v="Ventas Local"/>
    <s v="SoporteVenta"/>
    <n v="6566"/>
    <n v="0"/>
    <n v="0"/>
    <s v="D√©bito"/>
    <s v="En Caja Operacional"/>
    <n v="846423"/>
    <m/>
    <n v="6566"/>
    <n v="5517.6470588235297"/>
  </r>
  <r>
    <s v="Ovalle"/>
    <n v="220539"/>
    <d v="2025-12-12T12:36:30"/>
    <s v="76328757-2"/>
    <s v="PROD.DE EVENTOS ALEJANDRO JAVIER PARDO T"/>
    <x v="6"/>
    <s v="Ovalle"/>
    <s v="Emilio"/>
    <n v="72568"/>
    <n v="0"/>
    <n v="0"/>
    <s v="Cr√©dito"/>
    <s v="En Caja Operacional"/>
    <n v="808149"/>
    <m/>
    <n v="72568"/>
    <n v="60981.512605042022"/>
  </r>
  <r>
    <s v="Linares"/>
    <n v="220538"/>
    <d v="2025-12-12T12:14:02"/>
    <s v="66666666-6"/>
    <s v="Cliente LINARES Generico"/>
    <x v="1"/>
    <s v="Linares"/>
    <s v="Eduardo"/>
    <n v="157572"/>
    <n v="0"/>
    <n v="0"/>
    <s v="D√©bito"/>
    <s v="En Caja Operacional"/>
    <n v="318677"/>
    <m/>
    <n v="157572"/>
    <n v="132413.44537815126"/>
  </r>
  <r>
    <s v="Rojas Magallanes"/>
    <n v="220537"/>
    <d v="2025-12-12T11:58:19"/>
    <s v="66666666-6"/>
    <s v="Cliente ROJAS MAGALLANES Generico"/>
    <x v="5"/>
    <s v="Rojas Magallanes"/>
    <s v="Marisol"/>
    <n v="34095"/>
    <n v="0"/>
    <n v="0"/>
    <s v="D√©bito"/>
    <s v="En Caja Operacional"/>
    <n v="755499"/>
    <m/>
    <n v="34095"/>
    <n v="28651.26050420168"/>
  </r>
  <r>
    <s v="Geronimo Mendez"/>
    <n v="220536"/>
    <d v="2025-12-12T11:47:23"/>
    <s v="9758096-0"/>
    <s v="PEDRO CASTRO"/>
    <x v="0"/>
    <s v="Ventas Local"/>
    <s v="SoporteVenta"/>
    <n v="400000"/>
    <n v="0"/>
    <n v="0"/>
    <s v="D√©bito"/>
    <s v="En Caja Operacional"/>
    <n v="400768"/>
    <m/>
    <n v="400000"/>
    <n v="336134.45378151262"/>
  </r>
  <r>
    <s v="Rojas Magallanes"/>
    <n v="220535"/>
    <d v="2025-12-12T11:43:55"/>
    <s v="66666666-6"/>
    <s v="Cliente ROJAS MAGALLANES Generico"/>
    <x v="5"/>
    <s v="Rojas Magallanes"/>
    <s v="Marisol"/>
    <n v="45707"/>
    <n v="0"/>
    <n v="0"/>
    <s v="Cr√©dito"/>
    <s v="En Caja Operacional"/>
    <n v="434721"/>
    <m/>
    <n v="45707"/>
    <n v="38409.243697478996"/>
  </r>
  <r>
    <s v="Linares"/>
    <n v="220534"/>
    <d v="2025-12-12T11:23:44"/>
    <s v="66666666-6"/>
    <s v="Cliente LINARES Generico"/>
    <x v="1"/>
    <s v="Linares"/>
    <s v="Eduardo"/>
    <n v="25715"/>
    <n v="0"/>
    <n v="0"/>
    <s v="Cr√©dito"/>
    <s v="En Caja Operacional"/>
    <n v="415602"/>
    <m/>
    <n v="25715"/>
    <n v="21609.243697478993"/>
  </r>
  <r>
    <s v="Geronimo Mendez"/>
    <n v="220533"/>
    <d v="2025-12-12T11:05:00"/>
    <s v="76434741-2"/>
    <s v="SOC.COMERCIAL Y SERVICIOS DE TRANSPORTES"/>
    <x v="8"/>
    <s v="Ventas Local"/>
    <s v="SoporteVenta"/>
    <n v="202162"/>
    <n v="0"/>
    <n v="0"/>
    <s v="D√©bito"/>
    <s v="En Caja Operacional"/>
    <n v="744"/>
    <m/>
    <n v="202162"/>
    <n v="169884.03361344538"/>
  </r>
  <r>
    <s v="Ovalle"/>
    <n v="220532"/>
    <d v="2025-12-12T11:04:23"/>
    <s v="12569531-0"/>
    <s v="EMILIO SANTOS"/>
    <x v="6"/>
    <s v="Ovalle"/>
    <s v="Emilio"/>
    <n v="61428"/>
    <n v="0"/>
    <n v="0"/>
    <s v="Efectivo"/>
    <s v="En Caja Operacional"/>
    <m/>
    <m/>
    <n v="61428"/>
    <n v="51620.168067226892"/>
  </r>
  <r>
    <s v="Linares"/>
    <n v="220531"/>
    <d v="2025-12-12T11:03:37"/>
    <s v="66666666-6"/>
    <s v="Cliente LINARES Generico"/>
    <x v="1"/>
    <s v="Linares"/>
    <s v="Eduardo"/>
    <n v="86408"/>
    <n v="0"/>
    <n v="0"/>
    <s v="Cr√©dito"/>
    <s v="En Caja Operacional"/>
    <n v="194978"/>
    <m/>
    <n v="86408"/>
    <n v="72611.76470588235"/>
  </r>
  <r>
    <s v="Geronimo Mendez"/>
    <n v="220530"/>
    <d v="2025-12-12T10:54:16"/>
    <s v="76446294-7"/>
    <s v="TRANSPORTES SAN SEBASTIAN LIMITADA"/>
    <x v="8"/>
    <s v="Ventas Local"/>
    <s v="SoporteVenta"/>
    <n v="3799275"/>
    <n v="0"/>
    <n v="0"/>
    <s v="Cheque"/>
    <s v="En Caja Operacional"/>
    <n v="6560130"/>
    <d v="2025-12-16T00:00:00"/>
    <n v="1000000"/>
    <n v="840336.13445378153"/>
  </r>
  <r>
    <s v="Geronimo Mendez"/>
    <n v="220530"/>
    <d v="2025-12-12T10:54:16"/>
    <s v="76446294-7"/>
    <s v="TRANSPORTES SAN SEBASTIAN LIMITADA"/>
    <x v="8"/>
    <s v="Ventas Local"/>
    <s v="SoporteVenta"/>
    <n v="3799275"/>
    <n v="0"/>
    <n v="0"/>
    <s v="Cheque"/>
    <s v="En Caja Operacional"/>
    <n v="6560131"/>
    <d v="2026-01-16T00:00:00"/>
    <n v="1000000"/>
    <n v="840336.13445378153"/>
  </r>
  <r>
    <s v="Geronimo Mendez"/>
    <n v="220530"/>
    <d v="2025-12-12T10:54:16"/>
    <s v="76446294-7"/>
    <s v="TRANSPORTES SAN SEBASTIAN LIMITADA"/>
    <x v="8"/>
    <s v="Ventas Local"/>
    <s v="SoporteVenta"/>
    <n v="3799275"/>
    <n v="0"/>
    <n v="0"/>
    <s v="Cheque"/>
    <s v="En Caja Operacional"/>
    <n v="6560132"/>
    <d v="2026-02-16T00:00:00"/>
    <n v="1000000"/>
    <n v="840336.13445378153"/>
  </r>
  <r>
    <s v="Geronimo Mendez"/>
    <n v="220530"/>
    <d v="2025-12-12T10:54:16"/>
    <s v="76446294-7"/>
    <s v="TRANSPORTES SAN SEBASTIAN LIMITADA"/>
    <x v="8"/>
    <s v="Ventas Local"/>
    <s v="SoporteVenta"/>
    <n v="3799275"/>
    <n v="0"/>
    <n v="0"/>
    <s v="Cheque"/>
    <s v="En Caja Operacional"/>
    <n v="6560133"/>
    <d v="2026-03-16T00:00:00"/>
    <n v="799275"/>
    <n v="671659.66386554623"/>
  </r>
  <r>
    <s v="Linares"/>
    <n v="220529"/>
    <d v="2025-12-12T10:53:37"/>
    <s v="66666666-6"/>
    <s v="Cliente LINARES Generico"/>
    <x v="1"/>
    <s v="Linares"/>
    <s v="Eduardo"/>
    <n v="25715"/>
    <n v="0"/>
    <n v="0"/>
    <s v="D√©bito"/>
    <s v="En Caja Operacional"/>
    <n v="1205"/>
    <m/>
    <n v="25715"/>
    <n v="21609.243697478993"/>
  </r>
  <r>
    <s v="Linares"/>
    <n v="220528"/>
    <d v="2025-12-12T10:49:49"/>
    <s v="66666666-6"/>
    <s v="Cliente LINARES Generico"/>
    <x v="1"/>
    <s v="Linares"/>
    <s v="Eduardo"/>
    <n v="25715"/>
    <n v="0"/>
    <n v="0"/>
    <s v="D√©bito"/>
    <s v="En Caja Operacional"/>
    <n v="905938"/>
    <m/>
    <n v="25715"/>
    <n v="21609.243697478993"/>
  </r>
  <r>
    <s v="Geronimo Mendez"/>
    <n v="220527"/>
    <d v="2025-12-12T10:46:56"/>
    <s v="8986238-8"/>
    <s v="JORGE QUIROZ"/>
    <x v="8"/>
    <s v="Ventas Local"/>
    <s v="SoporteVenta"/>
    <n v="508311"/>
    <n v="0"/>
    <n v="0"/>
    <s v="Cr√©dito"/>
    <s v="En Caja Operacional"/>
    <n v="184310"/>
    <m/>
    <n v="508311"/>
    <n v="427152.10084033618"/>
  </r>
  <r>
    <s v="Ovalle"/>
    <n v="220526"/>
    <d v="2025-12-12T10:33:39"/>
    <s v="66666666-6"/>
    <s v="Cliente OVALLE Generico"/>
    <x v="6"/>
    <s v="Ovalle"/>
    <s v="Emilio"/>
    <n v="232874"/>
    <n v="0"/>
    <n v="0"/>
    <s v="D√©bito"/>
    <s v="En Caja Operacional"/>
    <n v="257362"/>
    <m/>
    <n v="232874"/>
    <n v="195692.43697478992"/>
  </r>
  <r>
    <s v="Linares"/>
    <n v="220525"/>
    <d v="2025-12-12T10:24:42"/>
    <s v="66666666-6"/>
    <s v="Cliente LINARES Generico"/>
    <x v="1"/>
    <s v="Linares"/>
    <s v="Eduardo"/>
    <n v="36457"/>
    <n v="0"/>
    <n v="0"/>
    <s v="D√©bito"/>
    <s v="En Caja Operacional"/>
    <n v="9471"/>
    <m/>
    <n v="36457"/>
    <n v="30636.134453781513"/>
  </r>
  <r>
    <s v="Geronimo Mendez"/>
    <n v="220524"/>
    <d v="2025-12-12T10:21:36"/>
    <s v="77927768-2"/>
    <s v="MOSA CHILE SPA."/>
    <x v="15"/>
    <s v="Contraloria"/>
    <s v="Selene"/>
    <n v="5411906"/>
    <n v="0"/>
    <n v="0"/>
    <s v="Transferencia"/>
    <s v="En Caja Operacional"/>
    <n v="275653"/>
    <m/>
    <n v="5411906"/>
    <n v="4547820.1680672271"/>
  </r>
  <r>
    <s v="Geronimo Mendez"/>
    <n v="220523"/>
    <d v="2025-12-12T10:14:44"/>
    <s v="77927768-2"/>
    <s v="MOSA CHILE SPA."/>
    <x v="15"/>
    <s v="Contraloria"/>
    <s v="Selene"/>
    <n v="-8152685"/>
    <n v="19973"/>
    <n v="0"/>
    <s v="Transferencia"/>
    <s v="En Caja Operacional"/>
    <n v="275652"/>
    <m/>
    <n v="8152685"/>
    <n v="6850995.7983193276"/>
  </r>
  <r>
    <s v="Geronimo Mendez"/>
    <n v="220522"/>
    <d v="2025-12-12T10:07:32"/>
    <s v="78218072-K"/>
    <s v="COMERCIALIZADORA DE REPTOS AUT. FRANCISCO FLORES EIRL"/>
    <x v="4"/>
    <s v="Ventas Local"/>
    <s v="SoporteVenta"/>
    <n v="127516"/>
    <n v="0"/>
    <n v="0"/>
    <s v="D√©bito"/>
    <s v="En Caja Operacional"/>
    <n v="3251"/>
    <m/>
    <n v="127516"/>
    <n v="107156.3025210084"/>
  </r>
  <r>
    <s v="Geronimo Mendez"/>
    <n v="220521"/>
    <d v="2025-12-12T10:07:09"/>
    <s v="77927768-2"/>
    <s v="MOSA CHILE SPA."/>
    <x v="15"/>
    <s v="Contraloria"/>
    <s v="Selene"/>
    <n v="5015731"/>
    <n v="0"/>
    <n v="0"/>
    <s v="Transferencia"/>
    <s v="En Caja Operacional"/>
    <n v="275651"/>
    <m/>
    <n v="5015731"/>
    <n v="4214900"/>
  </r>
  <r>
    <s v="Geronimo Mendez"/>
    <n v="220520"/>
    <d v="2025-12-12T09:43:29"/>
    <s v="7482049-2"/>
    <s v="PRUDENCIO ROJAS"/>
    <x v="8"/>
    <s v="Ventas Local"/>
    <s v="SoporteVenta"/>
    <n v="126817"/>
    <n v="0"/>
    <n v="0"/>
    <s v="D√©bito"/>
    <s v="En Caja Operacional"/>
    <n v="31181"/>
    <m/>
    <n v="126817"/>
    <n v="106568.90756302522"/>
  </r>
  <r>
    <s v="Geronimo Mendez"/>
    <n v="220519"/>
    <d v="2025-12-12T09:32:29"/>
    <s v="77373732-0"/>
    <s v="SERVICIOS DARKO ESPEJO SPA"/>
    <x v="4"/>
    <s v="Ventas Local"/>
    <s v="SoporteVenta"/>
    <n v="131942"/>
    <n v="0"/>
    <n v="0"/>
    <s v="D√©bito"/>
    <s v="En Caja Operacional"/>
    <n v="320749"/>
    <m/>
    <n v="131942"/>
    <n v="110875.63025210085"/>
  </r>
  <r>
    <s v="Geronimo Mendez"/>
    <n v="220518"/>
    <d v="2025-12-12T08:50:14"/>
    <s v="9553944-0"/>
    <s v="MARISOL GONZALEZ"/>
    <x v="0"/>
    <s v="Ventas Local"/>
    <s v="SoporteVenta"/>
    <n v="332498"/>
    <n v="0"/>
    <n v="0"/>
    <s v="D√©bito"/>
    <s v="En Caja Operacional"/>
    <n v="146338"/>
    <m/>
    <n v="332498"/>
    <n v="279410.08403361344"/>
  </r>
  <r>
    <s v="Linares"/>
    <n v="220517"/>
    <d v="2025-12-11T17:36:04"/>
    <s v="66666666-6"/>
    <s v="Cliente LINARES Generico"/>
    <x v="1"/>
    <s v="Linares"/>
    <s v="Eduardo"/>
    <n v="59981"/>
    <n v="0"/>
    <n v="0"/>
    <s v="D√©bito"/>
    <s v="En Caja Operacional"/>
    <n v="456882"/>
    <m/>
    <n v="59981"/>
    <n v="50404.201680672268"/>
  </r>
  <r>
    <s v="Linares"/>
    <n v="220516"/>
    <d v="2025-12-11T17:31:20"/>
    <s v="9262987-2"/>
    <s v="EDUARDO ENRIQUE PONCE"/>
    <x v="1"/>
    <s v="Linares"/>
    <s v="Eduardo"/>
    <n v="24817"/>
    <n v="0"/>
    <n v="0"/>
    <s v="Efectivo"/>
    <s v="En Caja Operacional"/>
    <m/>
    <m/>
    <n v="24817"/>
    <n v="20854.621848739498"/>
  </r>
  <r>
    <s v="Rojas Magallanes"/>
    <n v="220515"/>
    <d v="2025-12-11T17:29:57"/>
    <s v="66666666-6"/>
    <s v="Cliente ROJAS MAGALLANES Generico"/>
    <x v="5"/>
    <s v="Rojas Magallanes"/>
    <s v="Cristian"/>
    <n v="39282"/>
    <n v="0"/>
    <n v="0"/>
    <s v="Cr√©dito"/>
    <s v="En Caja Operacional"/>
    <n v="252202"/>
    <m/>
    <n v="39282"/>
    <n v="33010.08403361345"/>
  </r>
  <r>
    <s v="Linares"/>
    <n v="220514"/>
    <d v="2025-12-11T17:09:15"/>
    <s v="66666666-6"/>
    <s v="Cliente LINARES Generico"/>
    <x v="1"/>
    <s v="Linares"/>
    <s v="Eduardo"/>
    <n v="349064"/>
    <n v="0"/>
    <n v="0"/>
    <s v="Cr√©dito"/>
    <s v="En Caja Operacional"/>
    <n v="354466"/>
    <m/>
    <n v="349064"/>
    <n v="293331.09243697481"/>
  </r>
  <r>
    <s v="Rojas Magallanes"/>
    <n v="220513"/>
    <d v="2025-12-11T16:22:13"/>
    <s v="66666666-6"/>
    <s v="Cliente ROJAS MAGALLANES Generico"/>
    <x v="5"/>
    <s v="Rojas Magallanes"/>
    <s v="Marisol"/>
    <n v="86408"/>
    <n v="0"/>
    <n v="0"/>
    <s v="D√©bito"/>
    <s v="En Caja Operacional"/>
    <n v="495"/>
    <m/>
    <n v="86408"/>
    <n v="72611.76470588235"/>
  </r>
  <r>
    <s v="Geronimo Mendez"/>
    <n v="220512"/>
    <d v="2025-12-11T16:03:58"/>
    <s v="66666666-6"/>
    <s v="Cliente retail generico"/>
    <x v="17"/>
    <s v="Ventas Local"/>
    <s v="SoporteVenta"/>
    <n v="997494"/>
    <n v="0"/>
    <n v="0"/>
    <s v="Efectivo"/>
    <s v="En Caja Operacional"/>
    <m/>
    <m/>
    <n v="997494"/>
    <n v="838230.25210084033"/>
  </r>
  <r>
    <s v="Geronimo Mendez"/>
    <n v="220511"/>
    <d v="2025-12-11T15:51:25"/>
    <s v="11944056-4"/>
    <s v="LEYLA ISABEL VILLARREAL"/>
    <x v="3"/>
    <s v="Cobranzas"/>
    <s v="Maria"/>
    <n v="289000"/>
    <n v="0"/>
    <n v="0"/>
    <s v="Cheque"/>
    <s v="En Caja Operacional"/>
    <n v="2079008"/>
    <d v="2025-12-11T00:00:00"/>
    <n v="289000"/>
    <n v="242857.14285714287"/>
  </r>
  <r>
    <s v="Ovalle"/>
    <n v="220510"/>
    <d v="2025-12-11T15:36:19"/>
    <s v="66666666-6"/>
    <s v="Cliente OVALLE Generico"/>
    <x v="6"/>
    <s v="Ovalle"/>
    <s v="Emilio"/>
    <n v="31350"/>
    <n v="0"/>
    <n v="0"/>
    <s v="Cr√©dito"/>
    <s v="En Caja Operacional"/>
    <n v="548172"/>
    <m/>
    <n v="31350"/>
    <n v="26344.537815126052"/>
  </r>
  <r>
    <s v="Linares"/>
    <n v="220509"/>
    <d v="2025-12-11T15:34:25"/>
    <s v="76824765-K"/>
    <s v="TRANSPORTES Y COMERCIO MAFFET LIMITADA"/>
    <x v="1"/>
    <s v="Linares"/>
    <s v="Eduardo"/>
    <n v="46966"/>
    <n v="0"/>
    <n v="0"/>
    <s v="Cr√©dito"/>
    <s v="En Caja Operacional"/>
    <n v="598365"/>
    <m/>
    <n v="46966"/>
    <n v="39467.226890756305"/>
  </r>
  <r>
    <s v="Linares"/>
    <n v="220508"/>
    <d v="2025-12-11T15:09:54"/>
    <s v="9262987-2"/>
    <s v="EDUARDO ENRIQUE PONCE"/>
    <x v="1"/>
    <s v="Linares"/>
    <s v="Eduardo"/>
    <n v="185124"/>
    <n v="0"/>
    <n v="0"/>
    <s v="D√©bito"/>
    <s v="En Caja Operacional"/>
    <n v="916837"/>
    <m/>
    <n v="185124"/>
    <n v="155566.38655462186"/>
  </r>
  <r>
    <s v="Rojas Magallanes"/>
    <n v="220507"/>
    <d v="2025-12-11T14:18:39"/>
    <s v="66666666-6"/>
    <s v="Cliente ROJAS MAGALLANES Generico"/>
    <x v="5"/>
    <s v="Rojas Magallanes"/>
    <s v="Marisol"/>
    <n v="52001"/>
    <n v="0"/>
    <n v="0"/>
    <s v="Cr√©dito"/>
    <s v="En Caja Operacional"/>
    <n v="328535"/>
    <m/>
    <n v="52001"/>
    <n v="43698.319327731093"/>
  </r>
  <r>
    <s v="Rojas Magallanes"/>
    <n v="220506"/>
    <d v="2025-12-11T13:38:17"/>
    <s v="66666666-6"/>
    <s v="Cliente ROJAS MAGALLANES Generico"/>
    <x v="5"/>
    <s v="Rojas Magallanes"/>
    <s v="Marisol"/>
    <n v="108402"/>
    <n v="0"/>
    <n v="0"/>
    <s v="Cr√©dito"/>
    <s v="En Caja Operacional"/>
    <n v="441284"/>
    <m/>
    <n v="108402"/>
    <n v="91094.117647058825"/>
  </r>
  <r>
    <s v="Linares"/>
    <n v="220505"/>
    <d v="2025-12-11T13:08:26"/>
    <s v="66666666-6"/>
    <s v="Cliente LINARES Generico"/>
    <x v="1"/>
    <s v="Linares"/>
    <s v="Eduardo"/>
    <n v="52838"/>
    <n v="0"/>
    <n v="0"/>
    <s v="D√©bito"/>
    <s v="En Caja Operacional"/>
    <n v="6572"/>
    <m/>
    <n v="52838"/>
    <n v="44401.680672268907"/>
  </r>
  <r>
    <s v="Geronimo Mendez"/>
    <n v="220504"/>
    <d v="2025-12-11T12:23:01"/>
    <s v="78202862-6"/>
    <s v="TRANSPORTES VALER SPA"/>
    <x v="14"/>
    <s v="Ventas Local"/>
    <s v="SoporteVenta"/>
    <n v="422245"/>
    <n v="0"/>
    <n v="0"/>
    <s v="D√©bito"/>
    <s v="En Caja Operacional"/>
    <n v="14424"/>
    <m/>
    <n v="422245"/>
    <n v="354827.731092437"/>
  </r>
  <r>
    <s v="Linares"/>
    <n v="220503"/>
    <d v="2025-12-11T11:44:02"/>
    <s v="66666666-6"/>
    <s v="Cliente LINARES Generico"/>
    <x v="1"/>
    <s v="Linares"/>
    <s v="Eduardo"/>
    <n v="44868"/>
    <n v="0"/>
    <n v="0"/>
    <s v="D√©bito"/>
    <s v="En Caja Operacional"/>
    <n v="327516"/>
    <m/>
    <n v="44868"/>
    <n v="37704.201680672268"/>
  </r>
  <r>
    <s v="Linares"/>
    <n v="220502"/>
    <d v="2025-12-11T11:34:23"/>
    <s v="66666666-6"/>
    <s v="Cliente LINARES Generico"/>
    <x v="1"/>
    <s v="Linares"/>
    <s v="Eduardo"/>
    <n v="51103"/>
    <n v="0"/>
    <n v="0"/>
    <s v="D√©bito"/>
    <s v="En Caja Operacional"/>
    <n v="337953"/>
    <m/>
    <n v="51103"/>
    <n v="42943.697478991598"/>
  </r>
  <r>
    <s v="Linares"/>
    <n v="220501"/>
    <d v="2025-12-11T11:21:41"/>
    <s v="66666666-6"/>
    <s v="Cliente LINARES Generico"/>
    <x v="1"/>
    <s v="Linares"/>
    <s v="Eduardo"/>
    <n v="39947"/>
    <n v="0"/>
    <n v="0"/>
    <s v="Cr√©dito"/>
    <s v="En Caja Operacional"/>
    <n v="519620"/>
    <m/>
    <n v="39947"/>
    <n v="33568.907563025212"/>
  </r>
  <r>
    <s v="Rojas Magallanes"/>
    <n v="220500"/>
    <d v="2025-12-11T11:16:58"/>
    <s v="66666666-6"/>
    <s v="Cliente ROJAS MAGALLANES Generico"/>
    <x v="5"/>
    <s v="Rojas Magallanes"/>
    <s v="Marisol"/>
    <n v="84498"/>
    <n v="0"/>
    <n v="0"/>
    <s v="Cr√©dito"/>
    <s v="En Caja Operacional"/>
    <n v="163644"/>
    <m/>
    <n v="84498"/>
    <n v="71006.722689075628"/>
  </r>
  <r>
    <s v="Geronimo Mendez"/>
    <n v="220499"/>
    <d v="2025-12-11T11:15:55"/>
    <s v="77134860-2"/>
    <s v="SOC. AGRICOLA MUNIZAGA Y CIA. LTDA."/>
    <x v="8"/>
    <s v="Ventas Local"/>
    <s v="SoporteVenta"/>
    <n v="291498"/>
    <n v="0"/>
    <n v="0"/>
    <s v="Cr√©dito"/>
    <s v="En Caja Operacional"/>
    <n v="991283"/>
    <m/>
    <n v="291498"/>
    <n v="244956.30252100842"/>
  </r>
  <r>
    <s v="Rojas Magallanes"/>
    <n v="220498"/>
    <d v="2025-12-11T11:14:59"/>
    <s v="78152352-6"/>
    <s v="GRUPO INSPIRA SPA"/>
    <x v="7"/>
    <s v="Rojas Magallanes"/>
    <s v="Marisol"/>
    <n v="238610"/>
    <n v="0"/>
    <n v="0"/>
    <s v="D√©bito"/>
    <s v="En Caja Operacional"/>
    <n v="814905"/>
    <m/>
    <n v="238610"/>
    <n v="200512.6050420168"/>
  </r>
  <r>
    <s v="Ovalle"/>
    <n v="220497"/>
    <d v="2025-12-11T11:01:36"/>
    <s v="66666666-6"/>
    <s v="Cliente OVALLE Generico"/>
    <x v="6"/>
    <s v="Ovalle"/>
    <s v="Emilio"/>
    <n v="72268"/>
    <n v="0"/>
    <n v="0"/>
    <s v="D√©bito"/>
    <s v="En Caja Operacional"/>
    <n v="108348"/>
    <m/>
    <n v="72268"/>
    <n v="60729.411764705888"/>
  </r>
  <r>
    <s v="Linares"/>
    <n v="220496"/>
    <d v="2025-12-11T10:47:27"/>
    <s v="77469749-7"/>
    <s v="W RODRIGUEZ SPA"/>
    <x v="1"/>
    <s v="Linares"/>
    <s v="Eduardo"/>
    <n v="31475"/>
    <n v="0"/>
    <n v="0"/>
    <s v="D√©bito"/>
    <s v="En Caja Operacional"/>
    <n v="453246"/>
    <m/>
    <n v="31475"/>
    <n v="26449.579831932773"/>
  </r>
  <r>
    <s v="Linares"/>
    <n v="220495"/>
    <d v="2025-12-11T10:33:10"/>
    <s v="66666666-6"/>
    <s v="Cliente LINARES Generico"/>
    <x v="1"/>
    <s v="Linares"/>
    <s v="Eduardo"/>
    <n v="25715"/>
    <n v="0"/>
    <n v="0"/>
    <s v="D√©bito"/>
    <s v="En Caja Operacional"/>
    <n v="238642"/>
    <m/>
    <n v="25715"/>
    <n v="21609.243697478993"/>
  </r>
  <r>
    <s v="Linares"/>
    <n v="220494"/>
    <d v="2025-12-11T10:29:33"/>
    <s v="9262987-2"/>
    <s v="EDUARDO ENRIQUE PONCE"/>
    <x v="1"/>
    <s v="Linares"/>
    <s v="Eduardo"/>
    <n v="41144"/>
    <n v="0"/>
    <n v="0"/>
    <s v="Efectivo"/>
    <s v="En Caja Operacional"/>
    <m/>
    <m/>
    <n v="15144"/>
    <n v="12726.050420168067"/>
  </r>
  <r>
    <s v="Linares"/>
    <n v="220494"/>
    <d v="2025-12-11T10:29:33"/>
    <s v="9262987-2"/>
    <s v="EDUARDO ENRIQUE PONCE"/>
    <x v="1"/>
    <s v="Linares"/>
    <s v="Eduardo"/>
    <n v="41144"/>
    <n v="0"/>
    <n v="0"/>
    <s v="D√©bito"/>
    <s v="En Caja Operacional"/>
    <n v="28"/>
    <m/>
    <n v="26000"/>
    <n v="21848.73949579832"/>
  </r>
  <r>
    <s v="Geronimo Mendez"/>
    <n v="220493"/>
    <d v="2025-12-11T10:29:29"/>
    <s v="78025791-1"/>
    <s v="TRANSPORTE Y ARRIENDO DE MAQUINARIA GONZALEZ TRUCK SPA"/>
    <x v="8"/>
    <s v="Ventas Local"/>
    <s v="SoporteVenta"/>
    <n v="389694"/>
    <n v="0"/>
    <n v="0"/>
    <s v="Cr√©dito"/>
    <s v="En Caja Operacional"/>
    <n v="284650"/>
    <m/>
    <n v="389694"/>
    <n v="327473.94957983197"/>
  </r>
  <r>
    <s v="Geronimo Mendez"/>
    <n v="220492"/>
    <d v="2025-12-11T10:24:05"/>
    <s v="5092498-K"/>
    <s v="DIONISIO JOSE UBALDO   ROJAS"/>
    <x v="8"/>
    <s v="Ventas Local"/>
    <s v="SoporteVenta"/>
    <n v="248586"/>
    <n v="0"/>
    <n v="0"/>
    <s v="Efectivo"/>
    <s v="En Caja Operacional"/>
    <m/>
    <m/>
    <n v="248586"/>
    <n v="208895.79831932773"/>
  </r>
  <r>
    <s v="Geronimo Mendez"/>
    <n v="220491"/>
    <d v="2025-12-11T09:11:06"/>
    <s v="77972009-8"/>
    <s v="COMERCIAL R P LIMITADA"/>
    <x v="8"/>
    <s v="Ventas Local"/>
    <s v="SoporteVenta"/>
    <n v="186241"/>
    <n v="0"/>
    <n v="0"/>
    <s v="Efectivo"/>
    <s v="En Caja Operacional"/>
    <m/>
    <m/>
    <n v="186241"/>
    <n v="156505.04201680672"/>
  </r>
  <r>
    <s v="Geronimo Mendez"/>
    <n v="220490"/>
    <d v="2025-12-11T08:33:13"/>
    <s v="12267788-5"/>
    <s v="CARLOS EDUARDO  CORREA"/>
    <x v="4"/>
    <s v="Ventas Local"/>
    <s v="SoporteVenta"/>
    <n v="226665"/>
    <n v="0"/>
    <n v="0"/>
    <s v="Efectivo"/>
    <s v="En Caja Operacional"/>
    <m/>
    <m/>
    <n v="160000"/>
    <n v="134453.78151260506"/>
  </r>
  <r>
    <s v="Geronimo Mendez"/>
    <n v="220490"/>
    <d v="2025-12-11T08:33:13"/>
    <s v="12267788-5"/>
    <s v="CARLOS EDUARDO  CORREA"/>
    <x v="4"/>
    <s v="Ventas Local"/>
    <s v="SoporteVenta"/>
    <n v="226665"/>
    <n v="0"/>
    <n v="0"/>
    <s v="D√©bito"/>
    <s v="En Caja Operacional"/>
    <n v="78942"/>
    <m/>
    <n v="20000"/>
    <n v="16806.722689075632"/>
  </r>
  <r>
    <s v="Geronimo Mendez"/>
    <n v="220490"/>
    <d v="2025-12-11T08:33:13"/>
    <s v="12267788-5"/>
    <s v="CARLOS EDUARDO  CORREA"/>
    <x v="4"/>
    <s v="Ventas Local"/>
    <s v="SoporteVenta"/>
    <n v="226665"/>
    <n v="0"/>
    <n v="0"/>
    <s v="D√©bito"/>
    <s v="En Caja Operacional"/>
    <n v="3497"/>
    <m/>
    <n v="46665"/>
    <n v="39214.285714285717"/>
  </r>
  <r>
    <s v="Linares"/>
    <n v="220489"/>
    <d v="2025-12-10T18:11:32"/>
    <s v="9262987-2"/>
    <s v="EDUARDO ENRIQUE PONCE"/>
    <x v="1"/>
    <s v="Linares"/>
    <s v="Eduardo"/>
    <n v="115628"/>
    <n v="0"/>
    <n v="0"/>
    <s v="Efectivo"/>
    <s v="En Caja Operacional"/>
    <m/>
    <m/>
    <n v="115628"/>
    <n v="97166.386554621859"/>
  </r>
  <r>
    <s v="Rojas Magallanes"/>
    <n v="220488"/>
    <d v="2025-12-10T17:56:43"/>
    <s v="77088977-4"/>
    <s v="SERVI SANTIAGO DAVID ESTEBAN ORDENES BURDILES E.I.R.L."/>
    <x v="5"/>
    <s v="Rojas Magallanes"/>
    <s v="Marisol"/>
    <n v="852855"/>
    <n v="0"/>
    <n v="0"/>
    <s v="D√©bito"/>
    <s v="En Caja Operacional"/>
    <n v="31010"/>
    <m/>
    <n v="852855"/>
    <n v="716684.87394957989"/>
  </r>
  <r>
    <s v="Linares"/>
    <n v="220487"/>
    <d v="2025-12-10T17:51:59"/>
    <s v="66666666-6"/>
    <s v="Cliente LINARES Generico"/>
    <x v="1"/>
    <s v="Linares"/>
    <s v="Eduardo"/>
    <n v="39947"/>
    <n v="0"/>
    <n v="0"/>
    <s v="D√©bito"/>
    <s v="En Caja Operacional"/>
    <n v="899"/>
    <m/>
    <n v="39947"/>
    <n v="33568.907563025212"/>
  </r>
  <r>
    <s v="Rojas Magallanes"/>
    <n v="220486"/>
    <d v="2025-12-10T17:43:28"/>
    <s v="77139552-K"/>
    <s v="HD ELECTRIC SPA"/>
    <x v="5"/>
    <s v="Rojas Magallanes"/>
    <s v="Marisol"/>
    <n v="88196"/>
    <n v="0"/>
    <n v="0"/>
    <s v="D√©bito"/>
    <s v="En Caja Operacional"/>
    <n v="303595"/>
    <m/>
    <n v="88196"/>
    <n v="74114.285714285725"/>
  </r>
  <r>
    <s v="Linares"/>
    <n v="220485"/>
    <d v="2025-12-10T17:31:58"/>
    <s v="66666666-6"/>
    <s v="Cliente LINARES Generico"/>
    <x v="1"/>
    <s v="Linares"/>
    <s v="Eduardo"/>
    <n v="30965"/>
    <n v="0"/>
    <n v="0"/>
    <s v="D√©bito"/>
    <s v="En Caja Operacional"/>
    <n v="8336"/>
    <m/>
    <n v="30965"/>
    <n v="26021.008403361346"/>
  </r>
  <r>
    <s v="Geronimo Mendez"/>
    <n v="220484"/>
    <d v="2025-12-10T17:28:33"/>
    <s v="77570492-6"/>
    <s v="TRANSPORTES LEFU SPA"/>
    <x v="8"/>
    <s v="Ventas Local"/>
    <s v="SoporteVenta"/>
    <n v="33180"/>
    <n v="0"/>
    <n v="0"/>
    <s v="Cr√©dito"/>
    <s v="En Caja Operacional"/>
    <n v="274448"/>
    <m/>
    <n v="33180"/>
    <n v="27882.352941176472"/>
  </r>
  <r>
    <s v="Geronimo Mendez"/>
    <n v="220483"/>
    <d v="2025-12-10T17:22:13"/>
    <s v="12446076-K"/>
    <s v="Fidelia del Carmen Jimenez Rojas"/>
    <x v="4"/>
    <s v="Ventas Local"/>
    <s v="SoporteVenta"/>
    <n v="653086"/>
    <n v="0"/>
    <n v="0"/>
    <s v="Cheque"/>
    <s v="En Caja Operacional"/>
    <n v="8686029"/>
    <d v="2026-01-10T00:00:00"/>
    <n v="130000"/>
    <n v="109243.6974789916"/>
  </r>
  <r>
    <s v="Geronimo Mendez"/>
    <n v="220483"/>
    <d v="2025-12-10T17:22:13"/>
    <s v="12446076-K"/>
    <s v="Fidelia del Carmen Jimenez Rojas"/>
    <x v="4"/>
    <s v="Ventas Local"/>
    <s v="SoporteVenta"/>
    <n v="653086"/>
    <n v="0"/>
    <n v="0"/>
    <s v="Cheque"/>
    <s v="En Caja Operacional"/>
    <n v="8686030"/>
    <d v="2026-02-10T00:00:00"/>
    <n v="130000"/>
    <n v="109243.6974789916"/>
  </r>
  <r>
    <s v="Geronimo Mendez"/>
    <n v="220483"/>
    <d v="2025-12-10T17:22:13"/>
    <s v="12446076-K"/>
    <s v="Fidelia del Carmen Jimenez Rojas"/>
    <x v="4"/>
    <s v="Ventas Local"/>
    <s v="SoporteVenta"/>
    <n v="653086"/>
    <n v="0"/>
    <n v="0"/>
    <s v="Cheque"/>
    <s v="En Caja Operacional"/>
    <n v="8686031"/>
    <d v="2026-02-28T00:00:00"/>
    <n v="130000"/>
    <n v="109243.6974789916"/>
  </r>
  <r>
    <s v="Geronimo Mendez"/>
    <n v="220483"/>
    <d v="2025-12-10T17:22:13"/>
    <s v="12446076-K"/>
    <s v="Fidelia del Carmen Jimenez Rojas"/>
    <x v="4"/>
    <s v="Ventas Local"/>
    <s v="SoporteVenta"/>
    <n v="653086"/>
    <n v="0"/>
    <n v="0"/>
    <s v="Cheque"/>
    <s v="En Caja Operacional"/>
    <n v="8686032"/>
    <d v="2026-03-15T00:00:00"/>
    <n v="130000"/>
    <n v="109243.6974789916"/>
  </r>
  <r>
    <s v="Geronimo Mendez"/>
    <n v="220483"/>
    <d v="2025-12-10T17:22:13"/>
    <s v="12446076-K"/>
    <s v="Fidelia del Carmen Jimenez Rojas"/>
    <x v="4"/>
    <s v="Ventas Local"/>
    <s v="SoporteVenta"/>
    <n v="653086"/>
    <n v="0"/>
    <n v="0"/>
    <s v="Cheque"/>
    <s v="En Caja Operacional"/>
    <n v="8686033"/>
    <d v="2026-03-30T00:00:00"/>
    <n v="133086"/>
    <n v="111836.97478991597"/>
  </r>
  <r>
    <s v="Geronimo Mendez"/>
    <n v="220482"/>
    <d v="2025-12-10T17:18:45"/>
    <s v="12446076-K"/>
    <s v="Fidelia del Carmen Jimenez Rojas"/>
    <x v="4"/>
    <s v="Ventas Local"/>
    <s v="SoporteVenta"/>
    <n v="848732"/>
    <n v="0"/>
    <n v="0"/>
    <s v="Cheque"/>
    <s v="En Caja Operacional"/>
    <n v="8686024"/>
    <d v="2025-12-18T00:00:00"/>
    <n v="200000"/>
    <n v="168067.22689075631"/>
  </r>
  <r>
    <s v="Geronimo Mendez"/>
    <n v="220482"/>
    <d v="2025-12-10T17:18:45"/>
    <s v="12446076-K"/>
    <s v="Fidelia del Carmen Jimenez Rojas"/>
    <x v="4"/>
    <s v="Ventas Local"/>
    <s v="SoporteVenta"/>
    <n v="848732"/>
    <n v="0"/>
    <n v="0"/>
    <s v="Cheque"/>
    <s v="En Caja Operacional"/>
    <n v="8686025"/>
    <d v="2026-01-18T00:00:00"/>
    <n v="200000"/>
    <n v="168067.22689075631"/>
  </r>
  <r>
    <s v="Geronimo Mendez"/>
    <n v="220482"/>
    <d v="2025-12-10T17:18:45"/>
    <s v="12446076-K"/>
    <s v="Fidelia del Carmen Jimenez Rojas"/>
    <x v="4"/>
    <s v="Ventas Local"/>
    <s v="SoporteVenta"/>
    <n v="848732"/>
    <n v="0"/>
    <n v="0"/>
    <s v="Cheque"/>
    <s v="En Caja Operacional"/>
    <n v="8686026"/>
    <d v="2026-01-30T00:00:00"/>
    <n v="200000"/>
    <n v="168067.22689075631"/>
  </r>
  <r>
    <s v="Geronimo Mendez"/>
    <n v="220482"/>
    <d v="2025-12-10T17:18:45"/>
    <s v="12446076-K"/>
    <s v="Fidelia del Carmen Jimenez Rojas"/>
    <x v="4"/>
    <s v="Ventas Local"/>
    <s v="SoporteVenta"/>
    <n v="848732"/>
    <n v="0"/>
    <n v="0"/>
    <s v="Cheque"/>
    <s v="En Caja Operacional"/>
    <n v="8686027"/>
    <d v="2026-02-28T00:00:00"/>
    <n v="248732"/>
    <n v="209018.48739495801"/>
  </r>
  <r>
    <s v="Rojas Magallanes"/>
    <n v="220481"/>
    <d v="2025-12-10T17:18:06"/>
    <s v="66666666-6"/>
    <s v="Cliente ROJAS MAGALLANES Generico"/>
    <x v="5"/>
    <s v="Rojas Magallanes"/>
    <s v="Marisol"/>
    <n v="46568"/>
    <n v="0"/>
    <n v="0"/>
    <s v="D√©bito"/>
    <s v="En Caja Operacional"/>
    <n v="3038"/>
    <m/>
    <n v="46568"/>
    <n v="39132.773109243702"/>
  </r>
  <r>
    <s v="Geronimo Mendez"/>
    <n v="220480"/>
    <d v="2025-12-10T17:14:20"/>
    <s v="76124495-7"/>
    <s v="PAUL ROJAS GOMEZ TRANSP. Y SERV. EIR"/>
    <x v="0"/>
    <s v="Ventas Local"/>
    <s v="SoporteVenta"/>
    <n v="370481"/>
    <n v="0"/>
    <n v="0"/>
    <s v="Cheque"/>
    <s v="En Caja Operacional"/>
    <n v="7898888"/>
    <d v="2025-12-15T00:00:00"/>
    <n v="130481"/>
    <n v="109647.89915966387"/>
  </r>
  <r>
    <s v="Geronimo Mendez"/>
    <n v="220480"/>
    <d v="2025-12-10T17:14:20"/>
    <s v="76124495-7"/>
    <s v="PAUL ROJAS GOMEZ TRANSP. Y SERV. EIR"/>
    <x v="0"/>
    <s v="Ventas Local"/>
    <s v="SoporteVenta"/>
    <n v="370481"/>
    <n v="0"/>
    <n v="0"/>
    <s v="Cheque"/>
    <s v="En Caja Operacional"/>
    <n v="7898889"/>
    <d v="2026-01-15T00:00:00"/>
    <n v="120000"/>
    <n v="100840.33613445378"/>
  </r>
  <r>
    <s v="Geronimo Mendez"/>
    <n v="220480"/>
    <d v="2025-12-10T17:14:20"/>
    <s v="76124495-7"/>
    <s v="PAUL ROJAS GOMEZ TRANSP. Y SERV. EIR"/>
    <x v="0"/>
    <s v="Ventas Local"/>
    <s v="SoporteVenta"/>
    <n v="370481"/>
    <n v="0"/>
    <n v="0"/>
    <s v="Cheque"/>
    <s v="En Caja Operacional"/>
    <n v="7898890"/>
    <d v="2026-02-15T00:00:00"/>
    <n v="120000"/>
    <n v="100840.33613445378"/>
  </r>
  <r>
    <s v="Linares"/>
    <n v="220479"/>
    <d v="2025-12-10T17:10:03"/>
    <s v="66666666-6"/>
    <s v="Cliente LINARES Generico"/>
    <x v="1"/>
    <s v="Linares"/>
    <s v="Eduardo"/>
    <n v="55066"/>
    <n v="0"/>
    <n v="0"/>
    <s v="D√©bito"/>
    <s v="En Caja Operacional"/>
    <n v="5661"/>
    <m/>
    <n v="55066"/>
    <n v="46273.949579831933"/>
  </r>
  <r>
    <s v="Geronimo Mendez"/>
    <n v="220478"/>
    <d v="2025-12-10T16:58:07"/>
    <s v="78013615-4"/>
    <s v="TRANSPORTE Y LOGISTICA MARADO SPA"/>
    <x v="9"/>
    <s v="Cobranzas"/>
    <s v="Maria"/>
    <n v="362000"/>
    <n v="0"/>
    <n v="0"/>
    <s v="Efectivo"/>
    <s v="En Caja Operacional"/>
    <m/>
    <m/>
    <n v="362000"/>
    <n v="304201.68067226891"/>
  </r>
  <r>
    <s v="Geronimo Mendez"/>
    <n v="220477"/>
    <d v="2025-12-10T16:57:50"/>
    <s v="77329341-4"/>
    <s v="TRANSPORTES CARLOS CONTRERAS E I R L"/>
    <x v="1"/>
    <s v="Ventas Local"/>
    <s v="SoporteVenta"/>
    <n v="14994"/>
    <n v="0"/>
    <n v="0"/>
    <s v="D√©bito"/>
    <s v="En Caja Operacional"/>
    <n v="572245"/>
    <m/>
    <n v="14994"/>
    <n v="12600"/>
  </r>
  <r>
    <s v="Rojas Magallanes"/>
    <n v="220476"/>
    <d v="2025-12-10T16:48:06"/>
    <s v="66666666-6"/>
    <s v="Cliente ROJAS MAGALLANES Generico"/>
    <x v="5"/>
    <s v="Rojas Magallanes"/>
    <s v="Marisol"/>
    <n v="46256"/>
    <n v="0"/>
    <n v="0"/>
    <s v="D√©bito"/>
    <s v="En Caja Operacional"/>
    <n v="5333"/>
    <m/>
    <n v="46256"/>
    <n v="38870.588235294119"/>
  </r>
  <r>
    <s v="Geronimo Mendez"/>
    <n v="220475"/>
    <d v="2025-12-10T16:44:04"/>
    <s v="77331017-3"/>
    <s v="SERVICIOS INTEGRALES DE MECANICA AUTOMOTRIZ SPA"/>
    <x v="14"/>
    <s v="Ventas Local"/>
    <s v="SoporteVenta"/>
    <n v="227442"/>
    <n v="0"/>
    <n v="0"/>
    <s v="D√©bito"/>
    <s v="En Caja Operacional"/>
    <n v="325922"/>
    <m/>
    <n v="227442"/>
    <n v="191127.731092437"/>
  </r>
  <r>
    <s v="Ovalle"/>
    <n v="220474"/>
    <d v="2025-12-10T16:42:08"/>
    <s v="78451170-7"/>
    <s v="CORRETAJES TORRES Y COMPANIA LIMITADA"/>
    <x v="6"/>
    <s v="Ovalle"/>
    <s v="Emilio"/>
    <n v="90276"/>
    <n v="0"/>
    <n v="0"/>
    <s v="D√©bito"/>
    <s v="En Caja Operacional"/>
    <n v="141970"/>
    <m/>
    <n v="90276"/>
    <n v="75862.184873949576"/>
  </r>
  <r>
    <s v="Rojas Magallanes"/>
    <n v="220473"/>
    <d v="2025-12-10T16:37:34"/>
    <s v="66666666-6"/>
    <s v="Cliente ROJAS MAGALLANES Generico"/>
    <x v="5"/>
    <s v="Rojas Magallanes"/>
    <s v="Marisol"/>
    <n v="6566"/>
    <n v="0"/>
    <n v="0"/>
    <s v="D√©bito"/>
    <s v="En Caja Operacional"/>
    <n v="711822"/>
    <m/>
    <n v="6566"/>
    <n v="5517.6470588235297"/>
  </r>
  <r>
    <s v="Linares"/>
    <n v="220472"/>
    <d v="2025-12-10T16:34:20"/>
    <s v="66666666-6"/>
    <s v="Cliente LINARES Generico"/>
    <x v="1"/>
    <s v="Linares"/>
    <s v="Eduardo"/>
    <n v="68005"/>
    <n v="0"/>
    <n v="0"/>
    <s v="D√©bito"/>
    <s v="En Caja Operacional"/>
    <n v="337814"/>
    <m/>
    <n v="68005"/>
    <n v="57147.058823529413"/>
  </r>
  <r>
    <s v="Geronimo Mendez"/>
    <n v="220471"/>
    <d v="2025-12-10T16:28:09"/>
    <s v="77343832-3"/>
    <s v="SERVICIO DE MECANICA INTEGRAL SPA"/>
    <x v="4"/>
    <s v="Ventas Local"/>
    <s v="SoporteVenta"/>
    <n v="77010"/>
    <n v="0"/>
    <n v="0"/>
    <s v="Transferencia"/>
    <s v="En Caja Operacional"/>
    <n v="153"/>
    <m/>
    <n v="77010"/>
    <n v="64714.285714285717"/>
  </r>
  <r>
    <s v="Geronimo Mendez"/>
    <n v="220470"/>
    <d v="2025-12-10T16:21:31"/>
    <s v="6276438-4"/>
    <s v="IVAR TORRES"/>
    <x v="8"/>
    <s v="Ventas Local"/>
    <s v="SoporteVenta"/>
    <n v="96645"/>
    <n v="0"/>
    <n v="0"/>
    <s v="D√©bito"/>
    <s v="En Caja Operacional"/>
    <n v="453424"/>
    <m/>
    <n v="96645"/>
    <n v="81214.285714285725"/>
  </r>
  <r>
    <s v="Rojas Magallanes"/>
    <n v="220469"/>
    <d v="2025-12-10T15:58:45"/>
    <s v="77908171-0"/>
    <s v="TRANSPORTES Y LOGISTICA DON TEO LTDA"/>
    <x v="5"/>
    <s v="Rojas Magallanes"/>
    <s v="Marisol"/>
    <n v="56406"/>
    <n v="0"/>
    <n v="0"/>
    <s v="Transferencia"/>
    <s v="En Caja Operacional"/>
    <n v="272159"/>
    <m/>
    <n v="56406"/>
    <n v="47400"/>
  </r>
  <r>
    <s v="Ovalle"/>
    <n v="220468"/>
    <d v="2025-12-10T15:47:56"/>
    <s v="66666666-6"/>
    <s v="Cliente OVALLE Generico"/>
    <x v="6"/>
    <s v="Ovalle"/>
    <s v="Emilio"/>
    <n v="30636"/>
    <n v="0"/>
    <n v="0"/>
    <s v="D√©bito"/>
    <s v="En Caja Operacional"/>
    <n v="727821"/>
    <m/>
    <n v="30636"/>
    <n v="25744.537815126052"/>
  </r>
  <r>
    <s v="Ovalle"/>
    <n v="220467"/>
    <d v="2025-12-10T15:46:42"/>
    <s v="66666666-6"/>
    <s v="Cliente OVALLE Generico"/>
    <x v="6"/>
    <s v="Ovalle"/>
    <s v="Emilio"/>
    <n v="57245"/>
    <n v="0"/>
    <n v="0"/>
    <s v="D√©bito"/>
    <s v="En Caja Operacional"/>
    <n v="609467"/>
    <m/>
    <n v="57245"/>
    <n v="48105.042016806721"/>
  </r>
  <r>
    <s v="Linares"/>
    <n v="220466"/>
    <d v="2025-12-10T15:37:04"/>
    <s v="66666666-6"/>
    <s v="Cliente LINARES Generico"/>
    <x v="1"/>
    <s v="Linares"/>
    <s v="Eduardo"/>
    <n v="31745"/>
    <n v="0"/>
    <n v="0"/>
    <s v="Efectivo"/>
    <s v="En Caja Operacional"/>
    <m/>
    <m/>
    <n v="20000"/>
    <n v="16806.722689075632"/>
  </r>
  <r>
    <s v="Linares"/>
    <n v="220466"/>
    <d v="2025-12-10T15:37:04"/>
    <s v="66666666-6"/>
    <s v="Cliente LINARES Generico"/>
    <x v="1"/>
    <s v="Linares"/>
    <s v="Eduardo"/>
    <n v="31745"/>
    <n v="0"/>
    <n v="0"/>
    <s v="D√©bito"/>
    <s v="En Caja Operacional"/>
    <n v="621114"/>
    <m/>
    <n v="11745"/>
    <n v="9869.7478991596636"/>
  </r>
  <r>
    <s v="Linares"/>
    <n v="220465"/>
    <d v="2025-12-10T15:26:20"/>
    <s v="76610230-1"/>
    <s v="AC PERFORACIONES S.A."/>
    <x v="8"/>
    <s v="Linares"/>
    <s v="Eduardo"/>
    <n v="59976"/>
    <n v="0"/>
    <n v="0"/>
    <s v="D√©bito"/>
    <s v="En Caja Operacional"/>
    <n v="2878"/>
    <m/>
    <n v="59976"/>
    <n v="50400"/>
  </r>
  <r>
    <s v="Ovalle"/>
    <n v="220464"/>
    <d v="2025-12-10T15:24:13"/>
    <s v="66666666-6"/>
    <s v="Cliente OVALLE Generico"/>
    <x v="6"/>
    <s v="Ovalle"/>
    <s v="Emilio"/>
    <n v="30535"/>
    <n v="0"/>
    <n v="0"/>
    <s v="D√©bito"/>
    <s v="En Caja Operacional"/>
    <n v="28937"/>
    <m/>
    <n v="30535"/>
    <n v="25659.663865546219"/>
  </r>
  <r>
    <s v="Ovalle"/>
    <n v="220463"/>
    <d v="2025-12-10T15:22:42"/>
    <s v="5100018-8"/>
    <s v="RENE ALFARO"/>
    <x v="0"/>
    <s v="Ovalle"/>
    <s v="Emilio"/>
    <n v="39947"/>
    <n v="0"/>
    <n v="0"/>
    <s v="Cr√©dito"/>
    <s v="En Caja Operacional"/>
    <n v="654145"/>
    <m/>
    <n v="39947"/>
    <n v="33568.907563025212"/>
  </r>
  <r>
    <s v="Ovalle"/>
    <n v="220462"/>
    <d v="2025-12-10T15:20:43"/>
    <s v="5100018-8"/>
    <s v="RENE ALFARO"/>
    <x v="0"/>
    <s v="Ovalle"/>
    <s v="Emilio"/>
    <n v="50244"/>
    <n v="0"/>
    <n v="0"/>
    <s v="Cr√©dito"/>
    <s v="En Caja Operacional"/>
    <n v="388346"/>
    <m/>
    <n v="50244"/>
    <n v="42221.848739495799"/>
  </r>
  <r>
    <s v="Geronimo Mendez"/>
    <n v="220461"/>
    <d v="2025-12-10T15:20:18"/>
    <s v="77299243-2"/>
    <s v="TRANSPORTES NUEVO AMANECER SPA"/>
    <x v="8"/>
    <s v="Ventas Local"/>
    <s v="SoporteVenta"/>
    <n v="250000"/>
    <n v="0"/>
    <n v="0"/>
    <s v="D√©bito"/>
    <s v="En Caja Operacional"/>
    <n v="194656"/>
    <m/>
    <n v="250000"/>
    <n v="210084.03361344538"/>
  </r>
  <r>
    <s v="Geronimo Mendez"/>
    <n v="220460"/>
    <d v="2025-12-10T15:08:48"/>
    <s v="78420890-7"/>
    <s v="DISPROMIN LTDA."/>
    <x v="8"/>
    <s v="Ventas Local"/>
    <s v="SoporteVenta"/>
    <n v="386142"/>
    <n v="0"/>
    <n v="0"/>
    <s v="Cr√©dito"/>
    <s v="En Caja Operacional"/>
    <n v="576006"/>
    <m/>
    <n v="386142"/>
    <n v="324489.07563025213"/>
  </r>
  <r>
    <s v="Ovalle"/>
    <n v="220460"/>
    <d v="2025-12-10T15:06:36"/>
    <s v="77307843-2"/>
    <s v="COMERCIAL PAULA FRANCISCA MILLA ORTIZ EIRL"/>
    <x v="4"/>
    <s v="Ovalle"/>
    <s v="Emilio"/>
    <n v="120014"/>
    <n v="0"/>
    <n v="0"/>
    <s v="Efectivo"/>
    <s v="En Caja Operacional"/>
    <m/>
    <m/>
    <n v="120014"/>
    <n v="100852.10084033613"/>
  </r>
  <r>
    <s v="Geronimo Mendez"/>
    <n v="220459"/>
    <d v="2025-12-10T13:17:37"/>
    <s v="77329341-4"/>
    <s v="TRANSPORTES CARLOS CONTRERAS E I R L"/>
    <x v="1"/>
    <s v="Ventas Local"/>
    <s v="SoporteVenta"/>
    <n v="412978"/>
    <n v="0"/>
    <n v="0"/>
    <s v="D√©bito"/>
    <s v="En Caja Operacional"/>
    <n v="651252"/>
    <m/>
    <n v="412978"/>
    <n v="347040.33613445377"/>
  </r>
  <r>
    <s v="Linares"/>
    <n v="220458"/>
    <d v="2025-12-10T13:03:35"/>
    <s v="66666666-6"/>
    <s v="Cliente LINARES Generico"/>
    <x v="1"/>
    <s v="Linares"/>
    <s v="Eduardo"/>
    <n v="92634"/>
    <n v="0"/>
    <n v="0"/>
    <s v="Efectivo"/>
    <s v="En Caja Operacional"/>
    <m/>
    <m/>
    <n v="92634"/>
    <n v="77843.697478991598"/>
  </r>
  <r>
    <s v="Linares"/>
    <n v="220457"/>
    <d v="2025-12-10T12:53:47"/>
    <s v="66666666-6"/>
    <s v="Cliente LINARES Generico"/>
    <x v="1"/>
    <s v="Linares"/>
    <s v="Eduardo"/>
    <n v="55268"/>
    <n v="0"/>
    <n v="0"/>
    <s v="D√©bito"/>
    <s v="En Caja Operacional"/>
    <n v="7879"/>
    <m/>
    <n v="55268"/>
    <n v="46443.697478991598"/>
  </r>
  <r>
    <s v="Geronimo Mendez"/>
    <n v="220456"/>
    <d v="2025-12-10T12:17:51"/>
    <s v="78071594-4"/>
    <s v="VILLALOBOS RAMIREZ SPA"/>
    <x v="8"/>
    <s v="Ventas Local"/>
    <s v="SoporteVenta"/>
    <n v="32487"/>
    <n v="0"/>
    <n v="0"/>
    <s v="D√©bito"/>
    <s v="En Caja Operacional"/>
    <n v="12460"/>
    <m/>
    <n v="32487"/>
    <n v="27300"/>
  </r>
  <r>
    <s v="Ovalle"/>
    <n v="220455"/>
    <d v="2025-12-10T12:07:40"/>
    <s v="12058094-9"/>
    <s v="LUIS ENRIQUE MARIN"/>
    <x v="6"/>
    <s v="Ovalle"/>
    <s v="Emilio"/>
    <n v="372513"/>
    <n v="0"/>
    <n v="0"/>
    <s v="Efectivo"/>
    <s v="En Caja Operacional"/>
    <m/>
    <m/>
    <n v="372513"/>
    <n v="313036.13445378153"/>
  </r>
  <r>
    <s v="Ovalle"/>
    <n v="220454"/>
    <d v="2025-12-10T12:06:35"/>
    <s v="12569531-0"/>
    <s v="EMILIO SANTOS"/>
    <x v="6"/>
    <s v="Ovalle"/>
    <s v="Emilio"/>
    <n v="60004"/>
    <n v="0"/>
    <n v="0"/>
    <s v="D√©bito"/>
    <s v="En Caja Operacional"/>
    <n v="364018"/>
    <m/>
    <n v="60004"/>
    <n v="50423.529411764706"/>
  </r>
  <r>
    <s v="Linares"/>
    <n v="220453"/>
    <d v="2025-12-10T12:04:24"/>
    <s v="66666666-6"/>
    <s v="Cliente LINARES Generico"/>
    <x v="1"/>
    <s v="Linares"/>
    <s v="Eduardo"/>
    <n v="141188"/>
    <n v="0"/>
    <n v="0"/>
    <s v="D√©bito"/>
    <s v="En Caja Operacional"/>
    <n v="304950"/>
    <m/>
    <n v="141188"/>
    <n v="118645.37815126051"/>
  </r>
  <r>
    <s v="Linares"/>
    <n v="220452"/>
    <d v="2025-12-10T11:49:30"/>
    <s v="66666666-6"/>
    <s v="Cliente LINARES Generico"/>
    <x v="1"/>
    <s v="Linares"/>
    <s v="Eduardo"/>
    <n v="48777"/>
    <n v="0"/>
    <n v="0"/>
    <s v="Efectivo"/>
    <s v="En Caja Operacional"/>
    <m/>
    <m/>
    <n v="66"/>
    <n v="55.462184873949582"/>
  </r>
  <r>
    <s v="Linares"/>
    <n v="220452"/>
    <d v="2025-12-10T11:49:30"/>
    <s v="66666666-6"/>
    <s v="Cliente LINARES Generico"/>
    <x v="1"/>
    <s v="Linares"/>
    <s v="Eduardo"/>
    <n v="48777"/>
    <n v="0"/>
    <n v="0"/>
    <s v="D√©bito"/>
    <s v="En Caja Operacional"/>
    <n v="490"/>
    <m/>
    <n v="6500"/>
    <n v="5462.1848739495799"/>
  </r>
  <r>
    <s v="Linares"/>
    <n v="220452"/>
    <d v="2025-12-10T11:49:30"/>
    <s v="66666666-6"/>
    <s v="Cliente LINARES Generico"/>
    <x v="1"/>
    <s v="Linares"/>
    <s v="Eduardo"/>
    <n v="48777"/>
    <n v="0"/>
    <n v="0"/>
    <s v="Cr√©dito"/>
    <s v="En Caja Operacional"/>
    <n v="211422"/>
    <m/>
    <n v="42211"/>
    <n v="35471.428571428572"/>
  </r>
  <r>
    <s v="Linares"/>
    <n v="220451"/>
    <d v="2025-12-10T11:44:39"/>
    <s v="66666666-6"/>
    <s v="Cliente LINARES Generico"/>
    <x v="1"/>
    <s v="Linares"/>
    <s v="Eduardo"/>
    <n v="115144"/>
    <n v="0"/>
    <n v="0"/>
    <s v="D√©bito"/>
    <s v="En Caja Operacional"/>
    <n v="354744"/>
    <m/>
    <n v="115144"/>
    <n v="96759.663865546216"/>
  </r>
  <r>
    <s v="Rojas Magallanes"/>
    <n v="220450"/>
    <d v="2025-12-10T11:40:19"/>
    <s v="66666666-6"/>
    <s v="Cliente ROJAS MAGALLANES Generico"/>
    <x v="5"/>
    <s v="Rojas Magallanes"/>
    <s v="Marisol"/>
    <n v="37710"/>
    <n v="0"/>
    <n v="0"/>
    <s v="D√©bito"/>
    <s v="En Caja Operacional"/>
    <n v="950265"/>
    <m/>
    <n v="37710"/>
    <n v="31689.075630252104"/>
  </r>
  <r>
    <s v="Linares"/>
    <n v="220449"/>
    <d v="2025-12-10T11:36:14"/>
    <s v="66666666-6"/>
    <s v="Cliente LINARES Generico"/>
    <x v="1"/>
    <s v="Linares"/>
    <s v="Eduardo"/>
    <n v="34064"/>
    <n v="0"/>
    <n v="0"/>
    <s v="D√©bito"/>
    <s v="En Caja Operacional"/>
    <n v="26315"/>
    <m/>
    <n v="34064"/>
    <n v="28625.210084033613"/>
  </r>
  <r>
    <s v="Geronimo Mendez"/>
    <n v="220448"/>
    <d v="2025-12-10T11:29:31"/>
    <s v="77500195-K"/>
    <s v="GALVEZ AUTOMECANICA SPA"/>
    <x v="8"/>
    <s v="Ventas Local"/>
    <s v="SoporteVenta"/>
    <n v="39947"/>
    <n v="0"/>
    <n v="0"/>
    <s v="D√©bito"/>
    <s v="En Caja Operacional"/>
    <n v="5728"/>
    <m/>
    <n v="39947"/>
    <n v="33568.907563025212"/>
  </r>
  <r>
    <s v="Rojas Magallanes"/>
    <n v="220447"/>
    <d v="2025-12-10T11:19:28"/>
    <s v="7048981-3"/>
    <s v="luis ponzano"/>
    <x v="5"/>
    <s v="Rojas Magallanes"/>
    <s v="Marisol"/>
    <n v="38041"/>
    <n v="0"/>
    <n v="0"/>
    <s v="D√©bito"/>
    <s v="En Caja Operacional"/>
    <n v="906505"/>
    <m/>
    <n v="38041"/>
    <n v="31967.226890756305"/>
  </r>
  <r>
    <s v="Linares"/>
    <n v="220446"/>
    <d v="2025-12-10T11:12:00"/>
    <s v="16053063-4"/>
    <s v="ISIDRO JACOB ARAYA"/>
    <x v="1"/>
    <s v="Linares"/>
    <s v="Eduardo"/>
    <n v="34703"/>
    <n v="0"/>
    <n v="0"/>
    <s v="Efectivo"/>
    <s v="En Caja Operacional"/>
    <m/>
    <m/>
    <n v="34703"/>
    <n v="29162.18487394958"/>
  </r>
  <r>
    <s v="Ovalle"/>
    <n v="220445"/>
    <d v="2025-12-10T10:54:02"/>
    <s v="77684356-3"/>
    <s v="HRI MINERIA Y SERVICIOS SPA"/>
    <x v="6"/>
    <s v="Ovalle"/>
    <s v="Emilio"/>
    <n v="107489"/>
    <n v="0"/>
    <n v="0"/>
    <s v="D√©bito"/>
    <s v="En Caja Operacional"/>
    <n v="5409"/>
    <m/>
    <n v="107489"/>
    <n v="90326.890756302528"/>
  </r>
  <r>
    <s v="Geronimo Mendez"/>
    <n v="220444"/>
    <d v="2025-12-10T10:46:32"/>
    <s v="6276438-4"/>
    <s v="IVAR TORRES"/>
    <x v="8"/>
    <s v="Ventas Local"/>
    <s v="SoporteVenta"/>
    <n v="97973"/>
    <n v="0"/>
    <n v="0"/>
    <s v="D√©bito"/>
    <s v="En Caja Operacional"/>
    <n v="455473"/>
    <m/>
    <n v="97973"/>
    <n v="82330.252100840342"/>
  </r>
  <r>
    <s v="Rojas Magallanes"/>
    <n v="220443"/>
    <d v="2025-12-10T10:29:46"/>
    <s v="66666666-6"/>
    <s v="Cliente ROJAS MAGALLANES Generico"/>
    <x v="5"/>
    <s v="Rojas Magallanes"/>
    <s v="Marisol"/>
    <n v="38909"/>
    <n v="0"/>
    <n v="0"/>
    <s v="Cr√©dito"/>
    <s v="En Caja Operacional"/>
    <n v="292953"/>
    <m/>
    <n v="38909"/>
    <n v="32696.638655462186"/>
  </r>
  <r>
    <s v="Geronimo Mendez"/>
    <n v="220442"/>
    <d v="2025-12-10T10:08:50"/>
    <s v="66666666-6"/>
    <s v="Cliente retail generico"/>
    <x v="17"/>
    <s v="Ventas Local"/>
    <s v="SoporteVenta"/>
    <n v="86254"/>
    <n v="0"/>
    <n v="0"/>
    <s v="D√©bito"/>
    <s v="En Caja Operacional"/>
    <n v="8235"/>
    <m/>
    <n v="86254"/>
    <n v="72482.352941176476"/>
  </r>
  <r>
    <s v="Antillanca"/>
    <n v="220441"/>
    <d v="2025-12-10T09:54:43"/>
    <s v="76310356-0"/>
    <s v="CONSTRUCTORA BRASAN LIMITADA"/>
    <x v="9"/>
    <s v="Antillanca"/>
    <s v="Nataly"/>
    <n v="404305"/>
    <n v="0"/>
    <n v="0"/>
    <s v="Transferencia"/>
    <s v="En Caja Operacional"/>
    <n v="117"/>
    <m/>
    <n v="404305"/>
    <n v="339752.10084033618"/>
  </r>
  <r>
    <s v="Ovalle"/>
    <n v="220440"/>
    <d v="2025-12-10T09:48:53"/>
    <s v="5373339-5"/>
    <s v="MANUEL SANTOS  CASTANEDA"/>
    <x v="6"/>
    <s v="Ovalle"/>
    <s v="Emilio"/>
    <n v="327905"/>
    <n v="0"/>
    <n v="0"/>
    <s v="Efectivo"/>
    <s v="En Caja Operacional"/>
    <m/>
    <m/>
    <n v="327905"/>
    <n v="275550.42016806721"/>
  </r>
  <r>
    <s v="Antillanca"/>
    <n v="220439"/>
    <d v="2025-12-10T09:43:26"/>
    <s v="77490759-9"/>
    <s v="ESTAFETA CARGO EXPRESS LIMITADA"/>
    <x v="9"/>
    <s v="Antillanca"/>
    <s v="Nataly"/>
    <n v="4230500"/>
    <n v="0"/>
    <n v="0"/>
    <s v="Transferencia"/>
    <s v="En Caja Operacional"/>
    <n v="114"/>
    <m/>
    <n v="4230500"/>
    <n v="3555042.0168067226"/>
  </r>
  <r>
    <s v="Antillanca"/>
    <n v="220438"/>
    <d v="2025-12-10T09:42:24"/>
    <s v="87666100-4"/>
    <s v="TRANSPORTES INTERANDINOS S.A."/>
    <x v="16"/>
    <s v="Antillanca"/>
    <s v="Nataly"/>
    <n v="-3113755"/>
    <n v="7914"/>
    <n v="0"/>
    <s v="Transferencia"/>
    <s v="En Caja Operacional"/>
    <n v="32"/>
    <m/>
    <n v="3113755"/>
    <n v="2616600.8403361347"/>
  </r>
  <r>
    <s v="Geronimo Mendez"/>
    <n v="220437"/>
    <d v="2025-12-10T09:40:11"/>
    <s v="77837009-3"/>
    <s v="SANCHEZ LIMITADA"/>
    <x v="4"/>
    <s v="Ventas Local"/>
    <s v="SoporteVenta"/>
    <n v="68957"/>
    <n v="0"/>
    <n v="0"/>
    <s v="Transferencia"/>
    <s v="En Caja Operacional"/>
    <n v="145"/>
    <m/>
    <n v="68957"/>
    <n v="57947.058823529413"/>
  </r>
  <r>
    <s v="Linares"/>
    <n v="220436"/>
    <d v="2025-12-10T09:34:30"/>
    <s v="66666666-6"/>
    <s v="Cliente LINARES Generico"/>
    <x v="1"/>
    <s v="Linares"/>
    <s v="Eduardo"/>
    <n v="44843"/>
    <n v="0"/>
    <n v="0"/>
    <s v="Cr√©dito"/>
    <s v="En Caja Operacional"/>
    <n v="998041"/>
    <m/>
    <n v="44843"/>
    <n v="37683.193277310929"/>
  </r>
  <r>
    <s v="Linares"/>
    <n v="220435"/>
    <d v="2025-12-10T09:29:43"/>
    <s v="66666666-6"/>
    <s v="Cliente LINARES Generico"/>
    <x v="1"/>
    <s v="Linares"/>
    <s v="Eduardo"/>
    <n v="62407"/>
    <n v="0"/>
    <n v="0"/>
    <s v="Efectivo"/>
    <s v="En Caja Operacional"/>
    <m/>
    <m/>
    <n v="62407"/>
    <n v="52442.857142857145"/>
  </r>
  <r>
    <s v="Geronimo Mendez"/>
    <n v="220434"/>
    <d v="2025-12-10T09:09:29"/>
    <s v="66666666-6"/>
    <s v="Cliente retail generico"/>
    <x v="17"/>
    <s v="Ventas Local"/>
    <s v="SoporteVenta"/>
    <n v="98246"/>
    <n v="0"/>
    <n v="0"/>
    <s v="D√©bito"/>
    <s v="En Caja Operacional"/>
    <n v="842194"/>
    <m/>
    <n v="98246"/>
    <n v="82559.663865546216"/>
  </r>
  <r>
    <s v="Antillanca"/>
    <n v="220433"/>
    <d v="2025-12-10T08:57:55"/>
    <s v="76877825-6"/>
    <s v="COMERCIALIZADORA VEMACO SPA"/>
    <x v="10"/>
    <s v="Antillanca"/>
    <s v="Nataly"/>
    <n v="253646"/>
    <n v="0"/>
    <n v="0"/>
    <s v="D√©bito"/>
    <s v="En Caja Operacional"/>
    <n v="4"/>
    <m/>
    <n v="253646"/>
    <n v="213147.89915966388"/>
  </r>
  <r>
    <s v="Antillanca"/>
    <n v="220432"/>
    <d v="2025-12-10T08:55:20"/>
    <s v="12490936-8"/>
    <s v="CLAUDIA ANDREA NARVAEZ"/>
    <x v="10"/>
    <s v="Antillanca"/>
    <s v="Nataly"/>
    <n v="84530"/>
    <n v="0"/>
    <n v="0"/>
    <s v="Transferencia"/>
    <s v="En Caja Operacional"/>
    <n v="131"/>
    <m/>
    <n v="84530"/>
    <n v="71033.613445378156"/>
  </r>
  <r>
    <s v="Antillanca"/>
    <n v="220431"/>
    <d v="2025-12-10T08:52:17"/>
    <s v="99528240-2"/>
    <s v="INVERSIONES QUILLEN SPA"/>
    <x v="13"/>
    <s v="Antillanca"/>
    <s v="Nataly"/>
    <n v="133937"/>
    <n v="0"/>
    <n v="0"/>
    <s v="Transferencia"/>
    <s v="En Caja Operacional"/>
    <n v="62"/>
    <m/>
    <n v="133937"/>
    <n v="112552.10084033613"/>
  </r>
  <r>
    <s v="Geronimo Mendez"/>
    <n v="220430"/>
    <d v="2025-12-10T08:47:18"/>
    <s v="77285945-7"/>
    <s v="H R TRANSPORTES LIMITADA"/>
    <x v="8"/>
    <s v="Ventas Local"/>
    <s v="SoporteVenta"/>
    <n v="205911"/>
    <n v="0"/>
    <n v="0"/>
    <s v="D√©bito"/>
    <s v="En Caja Operacional"/>
    <n v="696308"/>
    <m/>
    <n v="205911"/>
    <n v="173034.45378151262"/>
  </r>
  <r>
    <s v="Linares"/>
    <n v="220429"/>
    <d v="2025-12-09T17:47:08"/>
    <s v="66666666-6"/>
    <s v="Cliente LINARES Generico"/>
    <x v="1"/>
    <s v="Linares"/>
    <s v="Eduardo"/>
    <n v="6566"/>
    <n v="0"/>
    <n v="0"/>
    <s v="Efectivo"/>
    <s v="En Caja Operacional"/>
    <m/>
    <m/>
    <n v="66"/>
    <n v="55.462184873949582"/>
  </r>
  <r>
    <s v="Linares"/>
    <n v="220429"/>
    <d v="2025-12-09T17:47:08"/>
    <s v="66666666-6"/>
    <s v="Cliente LINARES Generico"/>
    <x v="1"/>
    <s v="Linares"/>
    <s v="Eduardo"/>
    <n v="6566"/>
    <n v="0"/>
    <n v="0"/>
    <s v="D√©bito"/>
    <s v="En Caja Operacional"/>
    <n v="315940"/>
    <m/>
    <n v="6500"/>
    <n v="5462.1848739495799"/>
  </r>
  <r>
    <s v="Geronimo Mendez"/>
    <n v="220428"/>
    <d v="2025-12-09T17:38:21"/>
    <s v="77331017-3"/>
    <s v="SERVICIOS INTEGRALES DE MECANICA AUTOMOTRIZ SPA"/>
    <x v="14"/>
    <s v="Ventas Local"/>
    <s v="SoporteVenta"/>
    <n v="208671"/>
    <n v="0"/>
    <n v="0"/>
    <s v="D√©bito"/>
    <s v="En Caja Operacional"/>
    <n v="739357"/>
    <m/>
    <n v="208671"/>
    <n v="175353.78151260506"/>
  </r>
  <r>
    <s v="Geronimo Mendez"/>
    <n v="220427"/>
    <d v="2025-12-09T17:25:04"/>
    <s v="66666666-6"/>
    <s v="Cliente retail generico"/>
    <x v="17"/>
    <s v="Ventas Local"/>
    <s v="SoporteVenta"/>
    <n v="186256"/>
    <n v="0"/>
    <n v="0"/>
    <s v="D√©bito"/>
    <s v="En Caja Operacional"/>
    <n v="421253"/>
    <m/>
    <n v="186256"/>
    <n v="156517.64705882352"/>
  </r>
  <r>
    <s v="Rojas Magallanes"/>
    <n v="220426"/>
    <d v="2025-12-09T17:16:32"/>
    <s v="76445709-9"/>
    <s v="COM ACAM SPA"/>
    <x v="10"/>
    <s v="Rojas Magallanes"/>
    <s v="Marisol"/>
    <n v="282168"/>
    <n v="0"/>
    <n v="0"/>
    <s v="D√©bito"/>
    <s v="En Caja Operacional"/>
    <n v="31010"/>
    <m/>
    <n v="282168"/>
    <n v="237115.96638655465"/>
  </r>
  <r>
    <s v="Rojas Magallanes"/>
    <n v="220425"/>
    <d v="2025-12-09T17:15:42"/>
    <s v="10065407-5"/>
    <s v="RODRIGO AMADOR DAGUERRE"/>
    <x v="10"/>
    <s v="Rojas Magallanes"/>
    <s v="Marisol"/>
    <n v="350454"/>
    <n v="0"/>
    <n v="0"/>
    <s v="D√©bito"/>
    <s v="En Caja Operacional"/>
    <n v="31010"/>
    <m/>
    <n v="350454"/>
    <n v="294499.15966386558"/>
  </r>
  <r>
    <s v="Rojas Magallanes"/>
    <n v="220424"/>
    <d v="2025-12-09T17:04:25"/>
    <s v="76495857-8"/>
    <s v="AUTO MOTO REPUESTOS LIMITADA"/>
    <x v="5"/>
    <s v="Rojas Magallanes"/>
    <s v="Marisol"/>
    <n v="36723"/>
    <n v="0"/>
    <n v="0"/>
    <s v="D√©bito"/>
    <s v="En Caja Operacional"/>
    <n v="7623"/>
    <m/>
    <n v="36723"/>
    <n v="30859.663865546219"/>
  </r>
  <r>
    <s v="Geronimo Mendez"/>
    <n v="220423"/>
    <d v="2025-12-09T16:52:09"/>
    <s v="78205701-4"/>
    <s v="TALLER MEC. WALDO IVAN GARCIA GONZALEZ EIRL"/>
    <x v="4"/>
    <s v="Ventas Local"/>
    <s v="SoporteVenta"/>
    <n v="420841"/>
    <n v="0"/>
    <n v="0"/>
    <s v="D√©bito"/>
    <s v="En Caja Operacional"/>
    <n v="103"/>
    <m/>
    <n v="420841"/>
    <n v="353647.89915966388"/>
  </r>
  <r>
    <s v="Linares"/>
    <n v="220422"/>
    <d v="2025-12-09T16:08:33"/>
    <s v="66666666-6"/>
    <s v="Cliente LINARES Generico"/>
    <x v="1"/>
    <s v="Linares"/>
    <s v="Eduardo"/>
    <n v="44843"/>
    <n v="0"/>
    <n v="0"/>
    <s v="D√©bito"/>
    <s v="En Caja Operacional"/>
    <n v="75252"/>
    <m/>
    <n v="44843"/>
    <n v="37683.193277310929"/>
  </r>
  <r>
    <s v="Ovalle"/>
    <n v="220421"/>
    <d v="2025-12-09T15:59:11"/>
    <s v="10318635-8"/>
    <s v="CARLA GARCIA"/>
    <x v="6"/>
    <s v="Ovalle"/>
    <s v="Emilio"/>
    <n v="332498"/>
    <n v="0"/>
    <n v="0"/>
    <s v="Cheque"/>
    <s v="En Caja Operacional"/>
    <n v="4774126"/>
    <d v="2026-01-09T00:00:00"/>
    <n v="110000"/>
    <n v="92436.97478991597"/>
  </r>
  <r>
    <s v="Ovalle"/>
    <n v="220421"/>
    <d v="2025-12-09T15:59:11"/>
    <s v="10318635-8"/>
    <s v="CARLA GARCIA"/>
    <x v="6"/>
    <s v="Ovalle"/>
    <s v="Emilio"/>
    <n v="332498"/>
    <n v="0"/>
    <n v="0"/>
    <s v="Cheque"/>
    <s v="En Caja Operacional"/>
    <n v="4774127"/>
    <d v="2026-02-09T00:00:00"/>
    <n v="110000"/>
    <n v="92436.97478991597"/>
  </r>
  <r>
    <s v="Ovalle"/>
    <n v="220421"/>
    <d v="2025-12-09T15:59:11"/>
    <s v="10318635-8"/>
    <s v="CARLA GARCIA"/>
    <x v="6"/>
    <s v="Ovalle"/>
    <s v="Emilio"/>
    <n v="332498"/>
    <n v="0"/>
    <n v="0"/>
    <s v="Cheque"/>
    <s v="En Caja Operacional"/>
    <n v="4774128"/>
    <d v="2026-03-09T00:00:00"/>
    <n v="112498"/>
    <n v="94536.134453781517"/>
  </r>
  <r>
    <s v="Ovalle"/>
    <n v="220420"/>
    <d v="2025-12-09T15:58:38"/>
    <s v="66666666-6"/>
    <s v="Cliente OVALLE Generico"/>
    <x v="6"/>
    <s v="Ovalle"/>
    <s v="Emilio"/>
    <n v="6527"/>
    <n v="0"/>
    <n v="0"/>
    <s v="Efectivo"/>
    <s v="En Caja Operacional"/>
    <m/>
    <m/>
    <n v="6527"/>
    <n v="5484.8739495798318"/>
  </r>
  <r>
    <s v="Linares"/>
    <n v="220419"/>
    <d v="2025-12-09T15:49:14"/>
    <s v="66666666-6"/>
    <s v="Cliente LINARES Generico"/>
    <x v="1"/>
    <s v="Linares"/>
    <s v="Eduardo"/>
    <n v="31809"/>
    <n v="0"/>
    <n v="0"/>
    <s v="D√©bito"/>
    <s v="En Caja Operacional"/>
    <n v="823736"/>
    <m/>
    <n v="31809"/>
    <n v="26730.252100840338"/>
  </r>
  <r>
    <s v="Rojas Magallanes"/>
    <n v="220418"/>
    <d v="2025-12-09T15:47:00"/>
    <s v="66666666-6"/>
    <s v="Cliente ROJAS MAGALLANES Generico"/>
    <x v="5"/>
    <s v="Rojas Magallanes"/>
    <s v="Marisol"/>
    <n v="31350"/>
    <n v="0"/>
    <n v="0"/>
    <s v="D√©bito"/>
    <s v="En Caja Operacional"/>
    <n v="41010"/>
    <m/>
    <n v="31350"/>
    <n v="26344.537815126052"/>
  </r>
  <r>
    <s v="Linares"/>
    <n v="220417"/>
    <d v="2025-12-09T15:11:01"/>
    <s v="66666666-6"/>
    <s v="Cliente LINARES Generico"/>
    <x v="1"/>
    <s v="Linares"/>
    <s v="Eduardo"/>
    <n v="32457"/>
    <n v="0"/>
    <n v="0"/>
    <s v="D√©bito"/>
    <s v="En Caja Operacional"/>
    <n v="11765"/>
    <m/>
    <n v="32457"/>
    <n v="27274.789915966387"/>
  </r>
  <r>
    <s v="Geronimo Mendez"/>
    <n v="220416"/>
    <d v="2025-12-09T14:06:32"/>
    <s v="76707378-K"/>
    <s v="TALLER MEC. Y VTA. DE REP.DAVISSERVICAR"/>
    <x v="4"/>
    <s v="Ventas Local"/>
    <s v="SoporteVenta"/>
    <n v="473374"/>
    <n v="0"/>
    <n v="0"/>
    <s v="D√©bito"/>
    <s v="En Caja Operacional"/>
    <n v="7685"/>
    <m/>
    <n v="473374"/>
    <n v="397793.27731092437"/>
  </r>
  <r>
    <s v="Geronimo Mendez"/>
    <n v="220415"/>
    <d v="2025-12-09T14:04:07"/>
    <s v="77532375-2"/>
    <s v="LOGISTICAS VYE SPA"/>
    <x v="2"/>
    <s v="Ventas Local"/>
    <s v="SoporteVenta"/>
    <n v="67287"/>
    <n v="0"/>
    <n v="0"/>
    <s v="Cr√©dito"/>
    <s v="En Caja Operacional"/>
    <n v="464681"/>
    <m/>
    <n v="67287"/>
    <n v="56543.697478991598"/>
  </r>
  <r>
    <s v="Rojas Magallanes"/>
    <n v="220414"/>
    <d v="2025-12-09T13:26:25"/>
    <s v="66666666-6"/>
    <s v="Cliente ROJAS MAGALLANES Generico"/>
    <x v="5"/>
    <s v="Rojas Magallanes"/>
    <s v="Marisol"/>
    <n v="61409"/>
    <n v="0"/>
    <n v="0"/>
    <s v="D√©bito"/>
    <s v="En Caja Operacional"/>
    <n v="260859"/>
    <m/>
    <n v="61409"/>
    <n v="51604.201680672268"/>
  </r>
  <r>
    <s v="Linares"/>
    <n v="220413"/>
    <d v="2025-12-09T13:21:55"/>
    <s v="66666666-6"/>
    <s v="Cliente LINARES Generico"/>
    <x v="1"/>
    <s v="Linares"/>
    <s v="Eduardo"/>
    <n v="30739"/>
    <n v="0"/>
    <n v="0"/>
    <s v="D√©bito"/>
    <s v="En Caja Operacional"/>
    <n v="13702"/>
    <m/>
    <n v="30739"/>
    <n v="25831.092436974792"/>
  </r>
  <r>
    <s v="Geronimo Mendez"/>
    <n v="220412"/>
    <d v="2025-12-09T13:11:45"/>
    <s v="6276438-4"/>
    <s v="IVAR TORRES"/>
    <x v="8"/>
    <s v="Ventas Local"/>
    <s v="SoporteVenta"/>
    <n v="120009"/>
    <n v="0"/>
    <n v="0"/>
    <s v="Efectivo"/>
    <s v="En Caja Operacional"/>
    <m/>
    <m/>
    <n v="120009"/>
    <n v="100847.89915966387"/>
  </r>
  <r>
    <s v="Rojas Magallanes"/>
    <n v="220411"/>
    <d v="2025-12-09T13:11:25"/>
    <s v="66666666-6"/>
    <s v="Cliente ROJAS MAGALLANES Generico"/>
    <x v="5"/>
    <s v="Rojas Magallanes"/>
    <s v="Marisol"/>
    <n v="30225"/>
    <n v="0"/>
    <n v="0"/>
    <s v="Cr√©dito"/>
    <s v="En Caja Operacional"/>
    <n v="105681"/>
    <m/>
    <n v="30225"/>
    <n v="25399.159663865546"/>
  </r>
  <r>
    <s v="Geronimo Mendez"/>
    <n v="220410"/>
    <d v="2025-12-09T13:02:04"/>
    <s v="6276438-4"/>
    <s v="IVAR TORRES"/>
    <x v="8"/>
    <s v="Ventas Local"/>
    <s v="SoporteVenta"/>
    <n v="73316"/>
    <n v="0"/>
    <n v="0"/>
    <s v="Efectivo"/>
    <s v="En Caja Operacional"/>
    <m/>
    <m/>
    <n v="24540"/>
    <n v="20621.848739495799"/>
  </r>
  <r>
    <s v="Geronimo Mendez"/>
    <n v="220410"/>
    <d v="2025-12-09T13:02:04"/>
    <s v="6276438-4"/>
    <s v="IVAR TORRES"/>
    <x v="8"/>
    <s v="Ventas Local"/>
    <s v="SoporteVenta"/>
    <n v="73316"/>
    <n v="0"/>
    <n v="0"/>
    <s v="D√©bito"/>
    <s v="En Caja Operacional"/>
    <n v="160451"/>
    <m/>
    <n v="48776"/>
    <n v="40988.23529411765"/>
  </r>
  <r>
    <s v="Geronimo Mendez"/>
    <n v="220409"/>
    <d v="2025-12-09T12:48:09"/>
    <s v="77654392-6"/>
    <s v="TRANSPORTES GALLEGUILLOS GONZALEZ SPA"/>
    <x v="8"/>
    <s v="Ventas Local"/>
    <s v="SoporteVenta"/>
    <n v="494009"/>
    <n v="0"/>
    <n v="0"/>
    <s v="D√©bito"/>
    <s v="En Caja Operacional"/>
    <n v="472873"/>
    <m/>
    <n v="494009"/>
    <n v="415133.61344537814"/>
  </r>
  <r>
    <s v="Linares"/>
    <n v="220408"/>
    <d v="2025-12-09T12:47:37"/>
    <s v="9262987-2"/>
    <s v="EDUARDO ENRIQUE PONCE"/>
    <x v="1"/>
    <s v="Linares"/>
    <s v="Eduardo"/>
    <n v="57814"/>
    <n v="0"/>
    <n v="0"/>
    <s v="D√©bito"/>
    <s v="En Caja Operacional"/>
    <n v="627618"/>
    <m/>
    <n v="57814"/>
    <n v="48583.193277310929"/>
  </r>
  <r>
    <s v="Linares"/>
    <n v="220407"/>
    <d v="2025-12-09T12:36:03"/>
    <s v="66666666-6"/>
    <s v="Cliente LINARES Generico"/>
    <x v="1"/>
    <s v="Linares"/>
    <s v="Eduardo"/>
    <n v="30739"/>
    <n v="0"/>
    <n v="0"/>
    <s v="D√©bito"/>
    <s v="En Caja Operacional"/>
    <n v="480769"/>
    <m/>
    <n v="30739"/>
    <n v="25831.092436974792"/>
  </r>
  <r>
    <s v="Geronimo Mendez"/>
    <n v="220406"/>
    <d v="2025-12-09T12:24:44"/>
    <s v="66666666-6"/>
    <s v="Cliente retail generico"/>
    <x v="17"/>
    <s v="Ventas Local"/>
    <s v="SoporteVenta"/>
    <n v="32457"/>
    <n v="0"/>
    <n v="0"/>
    <s v="D√©bito"/>
    <s v="En Caja Operacional"/>
    <n v="433524"/>
    <m/>
    <n v="32457"/>
    <n v="27274.789915966387"/>
  </r>
  <r>
    <s v="Geronimo Mendez"/>
    <n v="220405"/>
    <d v="2025-12-09T12:17:00"/>
    <s v="8900069-6"/>
    <s v="AIDA RODRIGUEZ"/>
    <x v="8"/>
    <s v="Ventas Local"/>
    <s v="SoporteVenta"/>
    <n v="73449"/>
    <n v="0"/>
    <n v="0"/>
    <s v="Cr√©dito"/>
    <s v="En Caja Operacional"/>
    <n v="161571"/>
    <m/>
    <n v="73449"/>
    <n v="61721.848739495799"/>
  </r>
  <r>
    <s v="Linares"/>
    <n v="220404"/>
    <d v="2025-12-09T12:11:33"/>
    <s v="66666666-6"/>
    <s v="Cliente LINARES Generico"/>
    <x v="1"/>
    <s v="Linares"/>
    <s v="Eduardo"/>
    <n v="45567"/>
    <n v="0"/>
    <n v="0"/>
    <s v="D√©bito"/>
    <s v="En Caja Operacional"/>
    <n v="9139"/>
    <m/>
    <n v="45567"/>
    <n v="38291.596638655465"/>
  </r>
  <r>
    <s v="Geronimo Mendez"/>
    <n v="220404"/>
    <d v="2025-12-09T12:10:42"/>
    <s v="77373732-0"/>
    <s v="SERVICIOS DARKO ESPEJO SPA"/>
    <x v="4"/>
    <s v="Ventas Local"/>
    <s v="SoporteVenta"/>
    <n v="144138"/>
    <n v="0"/>
    <n v="0"/>
    <s v="D√©bito"/>
    <s v="En Caja Operacional"/>
    <n v="95673"/>
    <m/>
    <n v="144138"/>
    <n v="121124.36974789917"/>
  </r>
  <r>
    <s v="Linares"/>
    <n v="220403"/>
    <d v="2025-12-09T11:19:11"/>
    <s v="66666666-6"/>
    <s v="Cliente LINARES Generico"/>
    <x v="1"/>
    <s v="Linares"/>
    <s v="Eduardo"/>
    <n v="32242"/>
    <n v="0"/>
    <n v="0"/>
    <s v="Efectivo"/>
    <s v="En Caja Operacional"/>
    <m/>
    <m/>
    <n v="32242"/>
    <n v="27094.117647058825"/>
  </r>
  <r>
    <s v="Linares"/>
    <n v="220402"/>
    <d v="2025-12-09T10:42:08"/>
    <s v="9262987-2"/>
    <s v="EDUARDO ENRIQUE PONCE"/>
    <x v="1"/>
    <s v="Linares"/>
    <s v="Eduardo"/>
    <n v="77260"/>
    <n v="0"/>
    <n v="0"/>
    <s v="Efectivo"/>
    <s v="En Caja Operacional"/>
    <m/>
    <m/>
    <n v="26660"/>
    <n v="22403.361344537818"/>
  </r>
  <r>
    <s v="Linares"/>
    <n v="220402"/>
    <d v="2025-12-09T10:42:08"/>
    <s v="9262987-2"/>
    <s v="EDUARDO ENRIQUE PONCE"/>
    <x v="1"/>
    <s v="Linares"/>
    <s v="Eduardo"/>
    <n v="77260"/>
    <n v="0"/>
    <n v="0"/>
    <s v="D√©bito"/>
    <s v="En Caja Operacional"/>
    <n v="339367"/>
    <m/>
    <n v="50600"/>
    <n v="42521.008403361346"/>
  </r>
  <r>
    <s v="Antillanca"/>
    <n v="220401"/>
    <d v="2025-12-09T10:36:10"/>
    <s v="76577908-1"/>
    <s v="ALDO Y LUIS SPA"/>
    <x v="3"/>
    <s v="Antillanca"/>
    <s v="Nataly"/>
    <n v="551600"/>
    <n v="0"/>
    <n v="0"/>
    <s v="Efectivo"/>
    <s v="En Caja Operacional"/>
    <m/>
    <m/>
    <n v="551600"/>
    <n v="463529.4117647059"/>
  </r>
  <r>
    <s v="Antillanca"/>
    <n v="220400"/>
    <d v="2025-12-09T10:35:10"/>
    <s v="76577908-1"/>
    <s v="ALDO Y LUIS SPA"/>
    <x v="3"/>
    <s v="Antillanca"/>
    <s v="Nataly"/>
    <n v="851120"/>
    <n v="0"/>
    <n v="0"/>
    <s v="Efectivo"/>
    <s v="En Caja Operacional"/>
    <m/>
    <m/>
    <n v="851120"/>
    <n v="715226.89075630251"/>
  </r>
  <r>
    <s v="Antillanca"/>
    <n v="220399"/>
    <d v="2025-12-09T10:21:03"/>
    <s v="77731904-3"/>
    <s v="AUTO SHOP SPA"/>
    <x v="10"/>
    <s v="Antillanca"/>
    <s v="Nataly"/>
    <n v="42055"/>
    <n v="0"/>
    <n v="0"/>
    <s v="Transferencia"/>
    <s v="En Caja Operacional"/>
    <n v="115"/>
    <m/>
    <n v="42055"/>
    <n v="35340.336134453784"/>
  </r>
  <r>
    <s v="Geronimo Mendez"/>
    <n v="220398"/>
    <d v="2025-12-09T10:21:01"/>
    <s v="77085098-3"/>
    <s v="DTH SERVICIOS SPA"/>
    <x v="14"/>
    <s v="Ventas Local"/>
    <s v="SoporteVenta"/>
    <n v="19992"/>
    <n v="0"/>
    <n v="0"/>
    <s v="Efectivo"/>
    <s v="En Caja Operacional"/>
    <m/>
    <m/>
    <n v="19992"/>
    <n v="16800"/>
  </r>
  <r>
    <s v="Geronimo Mendez"/>
    <n v="220397"/>
    <d v="2025-12-09T10:10:23"/>
    <s v="77085098-3"/>
    <s v="DTH SERVICIOS SPA"/>
    <x v="14"/>
    <s v="Ventas Local"/>
    <s v="SoporteVenta"/>
    <n v="420841"/>
    <n v="0"/>
    <n v="0"/>
    <s v="D√©bito"/>
    <s v="En Caja Operacional"/>
    <n v="942208"/>
    <m/>
    <n v="420841"/>
    <n v="353647.89915966388"/>
  </r>
  <r>
    <s v="Antillanca"/>
    <n v="220396"/>
    <d v="2025-12-09T10:03:58"/>
    <s v="79906540-1"/>
    <s v="CARGO TRADER SPA"/>
    <x v="9"/>
    <s v="Antillanca"/>
    <s v="Nataly"/>
    <n v="4345523"/>
    <n v="0"/>
    <n v="0"/>
    <s v="Transferencia"/>
    <s v="En Caja Operacional"/>
    <n v="100"/>
    <m/>
    <n v="1407413"/>
    <n v="1182700"/>
  </r>
  <r>
    <s v="Antillanca"/>
    <n v="220396"/>
    <d v="2025-12-09T10:03:58"/>
    <s v="79906540-1"/>
    <s v="CARGO TRADER SPA"/>
    <x v="9"/>
    <s v="Antillanca"/>
    <s v="Nataly"/>
    <n v="4345523"/>
    <n v="0"/>
    <n v="0"/>
    <s v="Transferencia"/>
    <s v="En Caja Operacional"/>
    <n v="101"/>
    <m/>
    <n v="589050"/>
    <n v="495000"/>
  </r>
  <r>
    <s v="Antillanca"/>
    <n v="220396"/>
    <d v="2025-12-09T10:03:58"/>
    <s v="79906540-1"/>
    <s v="CARGO TRADER SPA"/>
    <x v="9"/>
    <s v="Antillanca"/>
    <s v="Nataly"/>
    <n v="4345523"/>
    <n v="0"/>
    <n v="0"/>
    <s v="Transferencia"/>
    <s v="En Caja Operacional"/>
    <n v="102"/>
    <m/>
    <n v="2349060"/>
    <n v="1974000"/>
  </r>
  <r>
    <s v="Antillanca"/>
    <n v="220395"/>
    <d v="2025-12-09T09:52:54"/>
    <s v="96708670-3"/>
    <s v="LOGISTICA S.A."/>
    <x v="13"/>
    <s v="Antillanca"/>
    <s v="Nataly"/>
    <n v="979608"/>
    <n v="0"/>
    <n v="0"/>
    <s v="Transferencia"/>
    <s v="En Caja Operacional"/>
    <n v="11"/>
    <m/>
    <n v="979608"/>
    <n v="823200"/>
  </r>
  <r>
    <s v="Linares"/>
    <n v="220394"/>
    <d v="2025-12-09T09:52:44"/>
    <s v="66666666-6"/>
    <s v="Cliente LINARES Generico"/>
    <x v="1"/>
    <s v="Linares"/>
    <s v="Eduardo"/>
    <n v="55431"/>
    <n v="0"/>
    <n v="0"/>
    <s v="Efectivo"/>
    <s v="En Caja Operacional"/>
    <m/>
    <m/>
    <n v="55431"/>
    <n v="46580.672268907569"/>
  </r>
  <r>
    <s v="Linares"/>
    <n v="220393"/>
    <d v="2025-12-09T09:49:07"/>
    <s v="66666666-6"/>
    <s v="Cliente LINARES Generico"/>
    <x v="1"/>
    <s v="Linares"/>
    <s v="Eduardo"/>
    <n v="42773"/>
    <n v="0"/>
    <n v="0"/>
    <s v="Efectivo"/>
    <s v="En Caja Operacional"/>
    <m/>
    <m/>
    <n v="42773"/>
    <n v="35943.697478991598"/>
  </r>
  <r>
    <s v="Antillanca"/>
    <n v="220392"/>
    <d v="2025-12-09T09:35:07"/>
    <s v="6173540-2"/>
    <s v="JORGE BAUTISTA NARVAEZ"/>
    <x v="10"/>
    <s v="Antillanca"/>
    <s v="Nataly"/>
    <n v="137047"/>
    <n v="0"/>
    <n v="0"/>
    <s v="D√©bito"/>
    <s v="En Caja Operacional"/>
    <n v="3"/>
    <m/>
    <n v="137047"/>
    <n v="115165.5462184874"/>
  </r>
  <r>
    <s v="Antillanca"/>
    <n v="220391"/>
    <d v="2025-12-09T09:33:48"/>
    <s v="79511060-7"/>
    <s v="TRANSPORTES GRACE LIMITADA"/>
    <x v="9"/>
    <s v="Antillanca"/>
    <s v="Nataly"/>
    <n v="518378"/>
    <n v="0"/>
    <n v="0"/>
    <s v="Transferencia"/>
    <s v="En Caja Operacional"/>
    <n v="90"/>
    <m/>
    <n v="518378"/>
    <n v="435611.76470588235"/>
  </r>
  <r>
    <s v="Linares"/>
    <n v="220390"/>
    <d v="2025-12-06T13:10:09"/>
    <s v="66666666-6"/>
    <s v="Cliente LINARES Generico"/>
    <x v="1"/>
    <s v="Linares"/>
    <s v="Eduardo"/>
    <n v="52156"/>
    <n v="0"/>
    <n v="0"/>
    <s v="Cr√©dito"/>
    <s v="En Caja Operacional"/>
    <n v="91372"/>
    <m/>
    <n v="52156"/>
    <n v="43828.571428571428"/>
  </r>
  <r>
    <s v="Geronimo Mendez"/>
    <n v="220389"/>
    <d v="2025-12-06T12:39:36"/>
    <s v="76750198-6"/>
    <s v="ZCR TRANSPORTE MAQUINARIA INGENIERIA Y CONSTRUCCION SPA"/>
    <x v="4"/>
    <s v="Contraloria"/>
    <s v="Selene"/>
    <n v="1740803"/>
    <n v="0"/>
    <n v="0"/>
    <s v="Transferencia"/>
    <s v="En Caja Operacional"/>
    <n v="275516"/>
    <m/>
    <n v="1740803"/>
    <n v="1462859.6638655462"/>
  </r>
  <r>
    <s v="Geronimo Mendez"/>
    <n v="220388"/>
    <d v="2025-12-06T12:38:56"/>
    <s v="77121882-2"/>
    <s v="PARABRISAS LA SERENA SPA"/>
    <x v="4"/>
    <s v="Contraloria"/>
    <s v="Selene"/>
    <n v="587922"/>
    <n v="0"/>
    <n v="0"/>
    <s v="Transferencia"/>
    <s v="En Caja Operacional"/>
    <n v="2575515"/>
    <m/>
    <n v="587922"/>
    <n v="494052.10084033618"/>
  </r>
  <r>
    <s v="Geronimo Mendez"/>
    <n v="220387"/>
    <d v="2025-12-06T12:38:19"/>
    <s v="8528369-3"/>
    <s v="MARIO PARRA"/>
    <x v="4"/>
    <s v="Contraloria"/>
    <s v="Selene"/>
    <n v="134000"/>
    <n v="0"/>
    <n v="0"/>
    <s v="Transferencia"/>
    <s v="En Caja Operacional"/>
    <n v="275513"/>
    <m/>
    <n v="134000"/>
    <n v="112605.04201680672"/>
  </r>
  <r>
    <s v="Geronimo Mendez"/>
    <n v="220386"/>
    <d v="2025-12-06T12:37:46"/>
    <s v="15869671-1"/>
    <s v="CRISTIAN ALVARO CORTES"/>
    <x v="4"/>
    <s v="Contraloria"/>
    <s v="Selene"/>
    <n v="106068"/>
    <n v="0"/>
    <n v="0"/>
    <s v="Transferencia"/>
    <s v="En Caja Operacional"/>
    <n v="275518"/>
    <m/>
    <n v="106068"/>
    <n v="89132.773109243702"/>
  </r>
  <r>
    <s v="Geronimo Mendez"/>
    <n v="220385"/>
    <d v="2025-12-06T12:36:58"/>
    <s v="76495435-1"/>
    <s v="E Y H SERVICIO AUTOMOTRIZ CIA. LIMITADA"/>
    <x v="4"/>
    <s v="Contraloria"/>
    <s v="Selene"/>
    <n v="210000"/>
    <n v="0"/>
    <n v="0"/>
    <s v="Transferencia"/>
    <s v="En Caja Operacional"/>
    <n v="275519"/>
    <m/>
    <n v="210000"/>
    <n v="176470.58823529413"/>
  </r>
  <r>
    <s v="Geronimo Mendez"/>
    <n v="220384"/>
    <d v="2025-12-06T12:36:18"/>
    <s v="77792779-5"/>
    <s v="REPUESTOS CARFAT LIMITADA"/>
    <x v="4"/>
    <s v="Contraloria"/>
    <s v="Selene"/>
    <n v="279147"/>
    <n v="0"/>
    <n v="0"/>
    <s v="Transferencia"/>
    <s v="En Caja Operacional"/>
    <n v="275520"/>
    <m/>
    <n v="279147"/>
    <n v="234577.31092436975"/>
  </r>
  <r>
    <s v="Geronimo Mendez"/>
    <n v="220383"/>
    <d v="2025-12-06T12:35:28"/>
    <s v="13015607-K"/>
    <s v="NEFI RODRIGO  CASTILLO"/>
    <x v="4"/>
    <s v="Contraloria"/>
    <s v="Selene"/>
    <n v="118978"/>
    <n v="0"/>
    <n v="0"/>
    <s v="Transferencia"/>
    <s v="En Caja Operacional"/>
    <n v="275505"/>
    <m/>
    <n v="118978"/>
    <n v="99981.512605042022"/>
  </r>
  <r>
    <s v="Linares"/>
    <n v="220382"/>
    <d v="2025-12-06T12:30:04"/>
    <s v="66666666-6"/>
    <s v="Cliente LINARES Generico"/>
    <x v="1"/>
    <s v="Linares"/>
    <s v="Eduardo"/>
    <n v="71823"/>
    <n v="0"/>
    <n v="0"/>
    <s v="Efectivo"/>
    <s v="En Caja Operacional"/>
    <m/>
    <m/>
    <n v="10623"/>
    <n v="8926.8907563025223"/>
  </r>
  <r>
    <s v="Linares"/>
    <n v="220382"/>
    <d v="2025-12-06T12:30:04"/>
    <s v="66666666-6"/>
    <s v="Cliente LINARES Generico"/>
    <x v="1"/>
    <s v="Linares"/>
    <s v="Eduardo"/>
    <n v="71823"/>
    <n v="0"/>
    <n v="0"/>
    <s v="Cr√©dito"/>
    <s v="En Caja Operacional"/>
    <n v="436227"/>
    <m/>
    <n v="61200"/>
    <n v="51428.571428571428"/>
  </r>
  <r>
    <s v="Rojas Magallanes"/>
    <n v="220381"/>
    <d v="2025-12-06T12:27:36"/>
    <s v="66666666-6"/>
    <s v="Cliente ROJAS MAGALLANES Generico"/>
    <x v="5"/>
    <s v="Rojas Magallanes"/>
    <s v="Marisol"/>
    <n v="41922"/>
    <n v="0"/>
    <n v="0"/>
    <s v="D√©bito"/>
    <s v="En Caja Operacional"/>
    <n v="715871"/>
    <m/>
    <n v="41922"/>
    <n v="35228.571428571428"/>
  </r>
  <r>
    <s v="Geronimo Mendez"/>
    <n v="220380"/>
    <d v="2025-12-06T12:26:44"/>
    <s v="78560030-4"/>
    <s v="ZEPEDA Y VECCHIOLA Y COMPANIA LTDA"/>
    <x v="4"/>
    <s v="Contraloria"/>
    <s v="Selene"/>
    <n v="252035"/>
    <n v="0"/>
    <n v="0"/>
    <s v="Transferencia"/>
    <s v="En Caja Operacional"/>
    <n v="275043"/>
    <m/>
    <n v="128630"/>
    <n v="108092.43697478992"/>
  </r>
  <r>
    <s v="Geronimo Mendez"/>
    <n v="220380"/>
    <d v="2025-12-06T12:26:44"/>
    <s v="78560030-4"/>
    <s v="ZEPEDA Y VECCHIOLA Y COMPANIA LTDA"/>
    <x v="4"/>
    <s v="Contraloria"/>
    <s v="Selene"/>
    <n v="252035"/>
    <n v="0"/>
    <n v="0"/>
    <s v="Transferencia"/>
    <s v="En Caja Operacional"/>
    <n v="275043"/>
    <m/>
    <n v="123405"/>
    <n v="103701.68067226891"/>
  </r>
  <r>
    <s v="Geronimo Mendez"/>
    <n v="220379"/>
    <d v="2025-12-06T12:18:27"/>
    <s v="10906275-8"/>
    <s v="FRANCISCO ONEILL"/>
    <x v="4"/>
    <s v="Contraloria"/>
    <s v="Selene"/>
    <n v="561677"/>
    <n v="0"/>
    <n v="0"/>
    <s v="Transferencia"/>
    <s v="En Caja Operacional"/>
    <n v="275044"/>
    <m/>
    <n v="561677"/>
    <n v="471997.47899159667"/>
  </r>
  <r>
    <s v="Rojas Magallanes"/>
    <n v="220378"/>
    <d v="2025-12-06T12:16:58"/>
    <s v="66666666-6"/>
    <s v="Cliente ROJAS MAGALLANES Generico"/>
    <x v="5"/>
    <s v="Rojas Magallanes"/>
    <s v="Marisol"/>
    <n v="30636"/>
    <n v="0"/>
    <n v="0"/>
    <s v="Cr√©dito"/>
    <s v="En Caja Operacional"/>
    <n v="906224"/>
    <m/>
    <n v="30636"/>
    <n v="25744.537815126052"/>
  </r>
  <r>
    <s v="Geronimo Mendez"/>
    <n v="220377"/>
    <d v="2025-12-06T12:07:05"/>
    <s v="9888878-0"/>
    <s v="CECILIA CAMPUSANO"/>
    <x v="4"/>
    <s v="Contraloria"/>
    <s v="Selene"/>
    <n v="62800"/>
    <n v="0"/>
    <n v="0"/>
    <s v="Transferencia"/>
    <s v="En Caja Operacional"/>
    <n v="275047"/>
    <m/>
    <n v="62800"/>
    <n v="52773.10924369748"/>
  </r>
  <r>
    <s v="Geronimo Mendez"/>
    <n v="220376"/>
    <d v="2025-12-06T11:56:37"/>
    <s v="76282734-4"/>
    <s v="COMERCIAL ALAMEDA S.A."/>
    <x v="4"/>
    <s v="Contraloria"/>
    <s v="Selene"/>
    <n v="204204"/>
    <n v="0"/>
    <n v="0"/>
    <s v="Cheque"/>
    <s v="En Caja Operacional"/>
    <n v="6486"/>
    <d v="2025-12-01T00:00:00"/>
    <n v="204204"/>
    <n v="171600"/>
  </r>
  <r>
    <s v="Geronimo Mendez"/>
    <n v="220375"/>
    <d v="2025-12-06T11:55:13"/>
    <s v="78075571-7"/>
    <s v="LUBRICENTRO ISLON SPA"/>
    <x v="4"/>
    <s v="Contraloria"/>
    <s v="Selene"/>
    <n v="1116278"/>
    <n v="0"/>
    <n v="0"/>
    <s v="Cheque"/>
    <s v="En Caja Operacional"/>
    <n v="2625679"/>
    <d v="2025-12-18T00:00:00"/>
    <n v="350000"/>
    <n v="294117.64705882355"/>
  </r>
  <r>
    <s v="Geronimo Mendez"/>
    <n v="220375"/>
    <d v="2025-12-06T11:55:13"/>
    <s v="78075571-7"/>
    <s v="LUBRICENTRO ISLON SPA"/>
    <x v="4"/>
    <s v="Contraloria"/>
    <s v="Selene"/>
    <n v="1116278"/>
    <n v="0"/>
    <n v="0"/>
    <s v="Cheque"/>
    <s v="En Caja Operacional"/>
    <n v="2625680"/>
    <d v="2025-12-25T00:00:00"/>
    <n v="350000"/>
    <n v="294117.64705882355"/>
  </r>
  <r>
    <s v="Geronimo Mendez"/>
    <n v="220375"/>
    <d v="2025-12-06T11:55:13"/>
    <s v="78075571-7"/>
    <s v="LUBRICENTRO ISLON SPA"/>
    <x v="4"/>
    <s v="Contraloria"/>
    <s v="Selene"/>
    <n v="1116278"/>
    <n v="0"/>
    <n v="0"/>
    <s v="Cheque"/>
    <s v="En Caja Operacional"/>
    <n v="2625681"/>
    <d v="2026-01-08T00:00:00"/>
    <n v="416278"/>
    <n v="349813.44537815126"/>
  </r>
  <r>
    <s v="Geronimo Mendez"/>
    <n v="220374"/>
    <d v="2025-12-06T11:48:12"/>
    <s v="76988551-K"/>
    <s v="COMERCIAL LUIS VERGARA VELASQUEZ"/>
    <x v="4"/>
    <s v="Contraloria"/>
    <s v="Selene"/>
    <n v="279003"/>
    <n v="0"/>
    <n v="0"/>
    <s v="Cheque"/>
    <s v="En Caja Operacional"/>
    <n v="5236344"/>
    <d v="2025-11-24T00:00:00"/>
    <n v="139502"/>
    <n v="117228.57142857143"/>
  </r>
  <r>
    <s v="Geronimo Mendez"/>
    <n v="220374"/>
    <d v="2025-12-06T11:48:12"/>
    <s v="76988551-K"/>
    <s v="COMERCIAL LUIS VERGARA VELASQUEZ"/>
    <x v="4"/>
    <s v="Contraloria"/>
    <s v="Selene"/>
    <n v="279003"/>
    <n v="0"/>
    <n v="0"/>
    <s v="Cheque"/>
    <s v="En Caja Operacional"/>
    <n v="5236343"/>
    <d v="2025-12-24T00:00:00"/>
    <n v="139501"/>
    <n v="117227.73109243698"/>
  </r>
  <r>
    <s v="Linares"/>
    <n v="220373"/>
    <d v="2025-12-06T11:40:50"/>
    <s v="66666666-6"/>
    <s v="Cliente LINARES Generico"/>
    <x v="1"/>
    <s v="Linares"/>
    <s v="Eduardo"/>
    <n v="32242"/>
    <n v="0"/>
    <n v="0"/>
    <s v="Efectivo"/>
    <s v="En Caja Operacional"/>
    <m/>
    <m/>
    <n v="32242"/>
    <n v="27094.117647058825"/>
  </r>
  <r>
    <s v="Rojas Magallanes"/>
    <n v="220372"/>
    <d v="2025-12-06T11:37:30"/>
    <s v="66666666-6"/>
    <s v="Cliente ROJAS MAGALLANES Generico"/>
    <x v="5"/>
    <s v="Rojas Magallanes"/>
    <s v="Marisol"/>
    <n v="22356"/>
    <n v="0"/>
    <n v="0"/>
    <s v="D√©bito"/>
    <s v="En Caja Operacional"/>
    <n v="99935"/>
    <m/>
    <n v="22356"/>
    <n v="18786.55462184874"/>
  </r>
  <r>
    <s v="Geronimo Mendez"/>
    <n v="220371"/>
    <d v="2025-12-06T11:26:53"/>
    <s v="77484660-3"/>
    <s v="BORDONES Y BORDONES LTDA."/>
    <x v="4"/>
    <s v="Contraloria"/>
    <s v="Selene"/>
    <n v="3584185"/>
    <n v="0"/>
    <n v="0"/>
    <s v="Cheque"/>
    <s v="En Caja Operacional"/>
    <n v="6806"/>
    <d v="2026-01-15T00:00:00"/>
    <n v="896000"/>
    <n v="752941.17647058831"/>
  </r>
  <r>
    <s v="Geronimo Mendez"/>
    <n v="220371"/>
    <d v="2025-12-06T11:26:53"/>
    <s v="77484660-3"/>
    <s v="BORDONES Y BORDONES LTDA."/>
    <x v="4"/>
    <s v="Contraloria"/>
    <s v="Selene"/>
    <n v="3584185"/>
    <n v="0"/>
    <n v="0"/>
    <s v="Cheque"/>
    <s v="En Caja Operacional"/>
    <n v="6807"/>
    <d v="2026-01-30T00:00:00"/>
    <n v="896000"/>
    <n v="752941.17647058831"/>
  </r>
  <r>
    <s v="Geronimo Mendez"/>
    <n v="220371"/>
    <d v="2025-12-06T11:26:53"/>
    <s v="77484660-3"/>
    <s v="BORDONES Y BORDONES LTDA."/>
    <x v="4"/>
    <s v="Contraloria"/>
    <s v="Selene"/>
    <n v="3584185"/>
    <n v="0"/>
    <n v="0"/>
    <s v="Cheque"/>
    <s v="En Caja Operacional"/>
    <n v="6808"/>
    <d v="2026-02-07T00:00:00"/>
    <n v="896000"/>
    <n v="752941.17647058831"/>
  </r>
  <r>
    <s v="Geronimo Mendez"/>
    <n v="220371"/>
    <d v="2025-12-06T11:26:53"/>
    <s v="77484660-3"/>
    <s v="BORDONES Y BORDONES LTDA."/>
    <x v="4"/>
    <s v="Contraloria"/>
    <s v="Selene"/>
    <n v="3584185"/>
    <n v="0"/>
    <n v="0"/>
    <s v="Cheque"/>
    <s v="En Caja Operacional"/>
    <n v="6809"/>
    <d v="2026-02-20T00:00:00"/>
    <n v="896185"/>
    <n v="753096.63865546219"/>
  </r>
  <r>
    <s v="Rojas Magallanes"/>
    <n v="220370"/>
    <d v="2025-12-06T11:25:17"/>
    <s v="66666666-6"/>
    <s v="Cliente ROJAS MAGALLANES Generico"/>
    <x v="5"/>
    <s v="Rojas Magallanes"/>
    <s v="Marisol"/>
    <n v="8827"/>
    <n v="0"/>
    <n v="0"/>
    <s v="D√©bito"/>
    <s v="En Caja Operacional"/>
    <n v="454790"/>
    <m/>
    <n v="8827"/>
    <n v="7417.6470588235297"/>
  </r>
  <r>
    <s v="Geronimo Mendez"/>
    <n v="220369"/>
    <d v="2025-12-06T11:22:32"/>
    <s v="5245026-8"/>
    <s v="JORGE GASTON MOYANO"/>
    <x v="4"/>
    <s v="Contraloria"/>
    <s v="Selene"/>
    <n v="1464727"/>
    <n v="0"/>
    <n v="0"/>
    <s v="Cheque"/>
    <s v="En Caja Operacional"/>
    <n v="9657624"/>
    <d v="2025-12-06T00:00:00"/>
    <n v="360000"/>
    <n v="302521.00840336137"/>
  </r>
  <r>
    <s v="Geronimo Mendez"/>
    <n v="220369"/>
    <d v="2025-12-06T11:22:32"/>
    <s v="5245026-8"/>
    <s v="JORGE GASTON MOYANO"/>
    <x v="4"/>
    <s v="Contraloria"/>
    <s v="Selene"/>
    <n v="1464727"/>
    <n v="0"/>
    <n v="0"/>
    <s v="Cheque"/>
    <s v="En Caja Operacional"/>
    <n v="9657625"/>
    <d v="2025-12-25T00:00:00"/>
    <n v="360000"/>
    <n v="302521.00840336137"/>
  </r>
  <r>
    <s v="Geronimo Mendez"/>
    <n v="220369"/>
    <d v="2025-12-06T11:22:32"/>
    <s v="5245026-8"/>
    <s v="JORGE GASTON MOYANO"/>
    <x v="4"/>
    <s v="Contraloria"/>
    <s v="Selene"/>
    <n v="1464727"/>
    <n v="0"/>
    <n v="0"/>
    <s v="Cheque"/>
    <s v="En Caja Operacional"/>
    <n v="9657626"/>
    <d v="2026-01-15T00:00:00"/>
    <n v="360000"/>
    <n v="302521.00840336137"/>
  </r>
  <r>
    <s v="Geronimo Mendez"/>
    <n v="220369"/>
    <d v="2025-12-06T11:22:32"/>
    <s v="5245026-8"/>
    <s v="JORGE GASTON MOYANO"/>
    <x v="4"/>
    <s v="Contraloria"/>
    <s v="Selene"/>
    <n v="1464727"/>
    <n v="0"/>
    <n v="0"/>
    <s v="Cheque"/>
    <s v="En Caja Operacional"/>
    <n v="9657627"/>
    <d v="2026-02-28T00:00:00"/>
    <n v="384727"/>
    <n v="323300"/>
  </r>
  <r>
    <s v="Geronimo Mendez"/>
    <n v="220368"/>
    <d v="2025-12-06T11:19:04"/>
    <s v="76675885-1"/>
    <s v="SOCIEDAD RIVERA MONTENEGRO Y CIA.LTDA."/>
    <x v="4"/>
    <s v="Cobranzas"/>
    <s v="Maria"/>
    <n v="50000"/>
    <n v="0"/>
    <n v="0"/>
    <s v="Transferencia"/>
    <s v="En Caja Operacional"/>
    <n v="275517"/>
    <m/>
    <n v="50000"/>
    <n v="42016.806722689078"/>
  </r>
  <r>
    <s v="Geronimo Mendez"/>
    <n v="220367"/>
    <d v="2025-12-06T11:17:56"/>
    <s v="10740083-4"/>
    <s v="JUAN SEGUNDO GALLARDO"/>
    <x v="6"/>
    <s v="Ventas Local"/>
    <s v="SoporteVenta"/>
    <n v="144405"/>
    <n v="0"/>
    <n v="0"/>
    <s v="D√©bito"/>
    <s v="En Caja Operacional"/>
    <n v="722462"/>
    <m/>
    <n v="144405"/>
    <n v="121348.73949579832"/>
  </r>
  <r>
    <s v="Ovalle"/>
    <n v="220366"/>
    <d v="2025-12-06T11:14:16"/>
    <s v="66666666-6"/>
    <s v="Cliente OVALLE Generico"/>
    <x v="6"/>
    <s v="Ovalle"/>
    <s v="Emilio"/>
    <n v="44971"/>
    <n v="0"/>
    <n v="0"/>
    <s v="D√©bito"/>
    <s v="En Caja Operacional"/>
    <n v="331353"/>
    <m/>
    <n v="44971"/>
    <n v="37790.756302521011"/>
  </r>
  <r>
    <s v="Linares"/>
    <n v="220365"/>
    <d v="2025-12-06T11:12:52"/>
    <s v="66666666-6"/>
    <s v="Cliente LINARES Generico"/>
    <x v="1"/>
    <s v="Linares"/>
    <s v="Eduardo"/>
    <n v="39947"/>
    <n v="0"/>
    <n v="0"/>
    <s v="Efectivo"/>
    <s v="En Caja Operacional"/>
    <m/>
    <m/>
    <n v="39947"/>
    <n v="33568.907563025212"/>
  </r>
  <r>
    <s v="Geronimo Mendez"/>
    <n v="220364"/>
    <d v="2025-12-06T11:04:17"/>
    <s v="10009892-K"/>
    <s v="ARTURO CHIRINO"/>
    <x v="8"/>
    <s v="Ventas Local"/>
    <s v="Maiko"/>
    <n v="122995"/>
    <n v="0"/>
    <n v="0"/>
    <s v="Efectivo"/>
    <s v="En Caja Operacional"/>
    <m/>
    <m/>
    <n v="122995"/>
    <n v="103357.14285714286"/>
  </r>
  <r>
    <s v="Antillanca"/>
    <n v="220363"/>
    <d v="2025-12-06T10:50:12"/>
    <s v="76473147-6"/>
    <s v="TRANSPORTES JUAN MARCELO TAPIA ANGEL EIRL"/>
    <x v="16"/>
    <s v="Antillanca"/>
    <s v="Nataly"/>
    <n v="6356268"/>
    <n v="0"/>
    <n v="0"/>
    <s v="Transferencia"/>
    <s v="En Caja Operacional"/>
    <n v="96"/>
    <m/>
    <n v="1000000"/>
    <n v="840336.13445378153"/>
  </r>
  <r>
    <s v="Antillanca"/>
    <n v="220363"/>
    <d v="2025-12-06T10:50:12"/>
    <s v="76473147-6"/>
    <s v="TRANSPORTES JUAN MARCELO TAPIA ANGEL EIRL"/>
    <x v="16"/>
    <s v="Antillanca"/>
    <s v="Nataly"/>
    <n v="6356268"/>
    <n v="0"/>
    <n v="0"/>
    <s v="Transferencia"/>
    <s v="En Caja Operacional"/>
    <n v="98"/>
    <m/>
    <n v="1000000"/>
    <n v="840336.13445378153"/>
  </r>
  <r>
    <s v="Antillanca"/>
    <n v="220363"/>
    <d v="2025-12-06T10:50:12"/>
    <s v="76473147-6"/>
    <s v="TRANSPORTES JUAN MARCELO TAPIA ANGEL EIRL"/>
    <x v="16"/>
    <s v="Antillanca"/>
    <s v="Nataly"/>
    <n v="6356268"/>
    <n v="0"/>
    <n v="0"/>
    <s v="D√©bito"/>
    <s v="En Caja Operacional"/>
    <n v="7744"/>
    <m/>
    <n v="2000000"/>
    <n v="1680672.2689075631"/>
  </r>
  <r>
    <s v="Antillanca"/>
    <n v="220363"/>
    <d v="2025-12-06T10:50:12"/>
    <s v="76473147-6"/>
    <s v="TRANSPORTES JUAN MARCELO TAPIA ANGEL EIRL"/>
    <x v="16"/>
    <s v="Antillanca"/>
    <s v="Nataly"/>
    <n v="6356268"/>
    <n v="0"/>
    <n v="0"/>
    <s v="D√©bito"/>
    <s v="En Caja Operacional"/>
    <n v="8694"/>
    <m/>
    <n v="2000000"/>
    <n v="1680672.2689075631"/>
  </r>
  <r>
    <s v="Antillanca"/>
    <n v="220363"/>
    <d v="2025-12-06T10:50:12"/>
    <s v="76473147-6"/>
    <s v="TRANSPORTES JUAN MARCELO TAPIA ANGEL EIRL"/>
    <x v="16"/>
    <s v="Antillanca"/>
    <s v="Nataly"/>
    <n v="6356268"/>
    <n v="0"/>
    <n v="0"/>
    <s v="Cr√©dito"/>
    <s v="En Caja Operacional"/>
    <n v="1007"/>
    <m/>
    <n v="356268"/>
    <n v="299384.87394957984"/>
  </r>
  <r>
    <s v="Linares"/>
    <n v="220362"/>
    <d v="2025-12-06T10:23:10"/>
    <s v="77570492-6"/>
    <s v="TRANSPORTES LEFU SPA"/>
    <x v="8"/>
    <s v="Linares"/>
    <s v="Eduardo"/>
    <n v="18447"/>
    <n v="0"/>
    <n v="0"/>
    <s v="D√©bito"/>
    <s v="En Caja Operacional"/>
    <n v="220714"/>
    <m/>
    <n v="18447"/>
    <n v="15501.680672268909"/>
  </r>
  <r>
    <s v="Ovalle"/>
    <n v="220361"/>
    <d v="2025-12-06T10:13:15"/>
    <s v="15040775-3"/>
    <s v="JUAN JOFRE"/>
    <x v="6"/>
    <s v="Ovalle"/>
    <s v="Emilio"/>
    <n v="491979"/>
    <n v="0"/>
    <n v="0"/>
    <s v="D√©bito"/>
    <s v="En Caja Operacional"/>
    <n v="124876"/>
    <m/>
    <n v="491979"/>
    <n v="413427.731092437"/>
  </r>
  <r>
    <s v="Geronimo Mendez"/>
    <n v="220360"/>
    <d v="2025-12-06T10:10:21"/>
    <s v="76914721-7"/>
    <s v="A POZO LIMITADA"/>
    <x v="8"/>
    <s v="Ventas Local"/>
    <s v="Maiko"/>
    <n v="1109154"/>
    <n v="0"/>
    <n v="0"/>
    <s v="Transferencia"/>
    <s v="En Caja Operacional"/>
    <n v="275451"/>
    <m/>
    <n v="159154"/>
    <n v="133742.85714285716"/>
  </r>
  <r>
    <s v="Geronimo Mendez"/>
    <n v="220360"/>
    <d v="2025-12-06T10:10:21"/>
    <s v="76914721-7"/>
    <s v="A POZO LIMITADA"/>
    <x v="8"/>
    <s v="Ventas Local"/>
    <s v="Maiko"/>
    <n v="1109154"/>
    <n v="0"/>
    <n v="0"/>
    <s v="D√©bito"/>
    <s v="En Caja Operacional"/>
    <n v="4066"/>
    <m/>
    <n v="950000"/>
    <n v="798319.32773109246"/>
  </r>
  <r>
    <s v="Linares"/>
    <n v="220359"/>
    <d v="2025-12-06T10:08:27"/>
    <s v="66666666-6"/>
    <s v="Cliente LINARES Generico"/>
    <x v="1"/>
    <s v="Linares"/>
    <s v="Eduardo"/>
    <n v="69780"/>
    <n v="0"/>
    <n v="0"/>
    <s v="Efectivo"/>
    <s v="En Caja Operacional"/>
    <m/>
    <m/>
    <n v="69780"/>
    <n v="58638.655462184877"/>
  </r>
  <r>
    <s v="Geronimo Mendez"/>
    <n v="220358"/>
    <d v="2025-12-06T10:02:44"/>
    <s v="76367317-0"/>
    <s v="SOCIEDAD DE TRANSPORTES EDMUNDO GRES LIMITADA"/>
    <x v="0"/>
    <s v="Ventas Local"/>
    <s v="SoporteVenta"/>
    <n v="1882785"/>
    <n v="0"/>
    <n v="0"/>
    <s v="D√©bito"/>
    <s v="En Caja Operacional"/>
    <n v="8605"/>
    <m/>
    <n v="7497"/>
    <n v="6300"/>
  </r>
  <r>
    <s v="Geronimo Mendez"/>
    <n v="220358"/>
    <d v="2025-12-06T10:02:44"/>
    <s v="76367317-0"/>
    <s v="SOCIEDAD DE TRANSPORTES EDMUNDO GRES LIMITADA"/>
    <x v="0"/>
    <s v="Ventas Local"/>
    <s v="SoporteVenta"/>
    <n v="1882785"/>
    <n v="0"/>
    <n v="0"/>
    <s v="Cheque"/>
    <s v="En Caja Operacional"/>
    <n v="4540414"/>
    <d v="2026-01-06T00:00:00"/>
    <n v="475288"/>
    <n v="399401.68067226891"/>
  </r>
  <r>
    <s v="Geronimo Mendez"/>
    <n v="220358"/>
    <d v="2025-12-06T10:02:44"/>
    <s v="76367317-0"/>
    <s v="SOCIEDAD DE TRANSPORTES EDMUNDO GRES LIMITADA"/>
    <x v="0"/>
    <s v="Ventas Local"/>
    <s v="SoporteVenta"/>
    <n v="1882785"/>
    <n v="0"/>
    <n v="0"/>
    <s v="Cheque"/>
    <s v="En Caja Operacional"/>
    <n v="4540415"/>
    <d v="2026-02-06T00:00:00"/>
    <n v="500000"/>
    <n v="420168.06722689077"/>
  </r>
  <r>
    <s v="Geronimo Mendez"/>
    <n v="220358"/>
    <d v="2025-12-06T10:02:44"/>
    <s v="76367317-0"/>
    <s v="SOCIEDAD DE TRANSPORTES EDMUNDO GRES LIMITADA"/>
    <x v="0"/>
    <s v="Ventas Local"/>
    <s v="SoporteVenta"/>
    <n v="1882785"/>
    <n v="0"/>
    <n v="0"/>
    <s v="Cheque"/>
    <s v="En Caja Operacional"/>
    <n v="4540416"/>
    <d v="2026-03-06T00:00:00"/>
    <n v="450000"/>
    <n v="378151.26050420169"/>
  </r>
  <r>
    <s v="Geronimo Mendez"/>
    <n v="220358"/>
    <d v="2025-12-06T10:02:44"/>
    <s v="76367317-0"/>
    <s v="SOCIEDAD DE TRANSPORTES EDMUNDO GRES LIMITADA"/>
    <x v="0"/>
    <s v="Ventas Local"/>
    <s v="SoporteVenta"/>
    <n v="1882785"/>
    <n v="0"/>
    <n v="0"/>
    <s v="Cheque"/>
    <s v="En Caja Operacional"/>
    <n v="4540417"/>
    <d v="2026-04-06T00:00:00"/>
    <n v="450000"/>
    <n v="378151.26050420169"/>
  </r>
  <r>
    <s v="Linares"/>
    <n v="220357"/>
    <d v="2025-12-06T09:54:57"/>
    <s v="66666666-6"/>
    <s v="Cliente LINARES Generico"/>
    <x v="1"/>
    <s v="Linares"/>
    <s v="Eduardo"/>
    <n v="30611"/>
    <n v="0"/>
    <n v="0"/>
    <s v="D√©bito"/>
    <s v="En Caja Operacional"/>
    <n v="355077"/>
    <m/>
    <n v="30611"/>
    <n v="25723.529411764706"/>
  </r>
  <r>
    <s v="Geronimo Mendez"/>
    <n v="220356"/>
    <d v="2025-12-06T09:54:27"/>
    <s v="76909175-0"/>
    <s v="TRANSPORTES EL MIRADOR SPA"/>
    <x v="8"/>
    <s v="Ventas Local"/>
    <s v="Maiko"/>
    <n v="421260"/>
    <n v="0"/>
    <n v="0"/>
    <s v="D√©bito"/>
    <s v="En Caja Operacional"/>
    <n v="534565"/>
    <m/>
    <n v="421260"/>
    <n v="354000"/>
  </r>
  <r>
    <s v="Ovalle"/>
    <n v="220355"/>
    <d v="2025-12-06T09:49:28"/>
    <s v="66666666-6"/>
    <s v="Cliente OVALLE Generico"/>
    <x v="6"/>
    <s v="Ovalle"/>
    <s v="Emilio"/>
    <n v="32242"/>
    <n v="0"/>
    <n v="0"/>
    <s v="Efectivo"/>
    <s v="En Caja Operacional"/>
    <m/>
    <m/>
    <n v="32242"/>
    <n v="27094.117647058825"/>
  </r>
  <r>
    <s v="Geronimo Mendez"/>
    <n v="220354"/>
    <d v="2025-12-06T09:24:48"/>
    <s v="76278814-4"/>
    <s v="TRANSPORTES FACTOR DISTRIBUCION S A"/>
    <x v="9"/>
    <s v="Ventas Local"/>
    <s v="SoporteVenta"/>
    <n v="912683"/>
    <n v="0"/>
    <n v="0"/>
    <s v="Transferencia"/>
    <s v="En Caja Operacional"/>
    <n v="97"/>
    <m/>
    <n v="912683"/>
    <n v="766960.50420168065"/>
  </r>
  <r>
    <s v="Ovalle"/>
    <n v="220353"/>
    <d v="2025-12-06T09:20:19"/>
    <s v="66666666-6"/>
    <s v="Cliente OVALLE Generico"/>
    <x v="6"/>
    <s v="Ovalle"/>
    <s v="Emilio"/>
    <n v="6566"/>
    <n v="0"/>
    <n v="0"/>
    <s v="Efectivo"/>
    <s v="En Caja Operacional"/>
    <m/>
    <m/>
    <n v="6566"/>
    <n v="5517.6470588235297"/>
  </r>
  <r>
    <s v="Rojas Magallanes"/>
    <n v="220352"/>
    <d v="2025-12-05T17:38:32"/>
    <s v="66666666-6"/>
    <s v="Cliente ROJAS MAGALLANES Generico"/>
    <x v="5"/>
    <s v="Rojas Magallanes"/>
    <s v="Marisol"/>
    <n v="27860"/>
    <n v="0"/>
    <n v="1"/>
    <s v="Efectivo"/>
    <s v="En Caja Operacional"/>
    <m/>
    <m/>
    <n v="27860"/>
    <n v="23411.764705882353"/>
  </r>
  <r>
    <s v="Linares"/>
    <n v="220351"/>
    <d v="2025-12-05T17:26:48"/>
    <s v="66666666-6"/>
    <s v="Cliente LINARES Generico"/>
    <x v="1"/>
    <s v="Linares"/>
    <s v="Eduardo"/>
    <n v="62606"/>
    <n v="0"/>
    <n v="0"/>
    <s v="Efectivo"/>
    <s v="En Caja Operacional"/>
    <m/>
    <m/>
    <n v="62606"/>
    <n v="52610.08403361345"/>
  </r>
  <r>
    <s v="Linares"/>
    <n v="220350"/>
    <d v="2025-12-05T17:14:40"/>
    <s v="66666666-6"/>
    <s v="Cliente LINARES Generico"/>
    <x v="1"/>
    <s v="Linares"/>
    <s v="Eduardo"/>
    <n v="6671"/>
    <n v="0"/>
    <n v="0"/>
    <s v="Efectivo"/>
    <s v="En Caja Operacional"/>
    <m/>
    <m/>
    <n v="6671"/>
    <n v="5605.8823529411766"/>
  </r>
  <r>
    <s v="Linares"/>
    <n v="220349"/>
    <d v="2025-12-05T16:52:14"/>
    <s v="9262987-2"/>
    <s v="EDUARDO ENRIQUE PONCE"/>
    <x v="1"/>
    <s v="Linares"/>
    <s v="Eduardo"/>
    <n v="37306"/>
    <n v="0"/>
    <n v="0"/>
    <s v="Efectivo"/>
    <s v="En Caja Operacional"/>
    <m/>
    <m/>
    <n v="12306"/>
    <n v="10341.176470588236"/>
  </r>
  <r>
    <s v="Linares"/>
    <n v="220349"/>
    <d v="2025-12-05T16:52:14"/>
    <s v="9262987-2"/>
    <s v="EDUARDO ENRIQUE PONCE"/>
    <x v="1"/>
    <s v="Linares"/>
    <s v="Eduardo"/>
    <n v="37306"/>
    <n v="0"/>
    <n v="0"/>
    <s v="D√©bito"/>
    <s v="En Caja Operacional"/>
    <n v="30617"/>
    <m/>
    <n v="25000"/>
    <n v="21008.403361344539"/>
  </r>
  <r>
    <s v="Rojas Magallanes"/>
    <n v="220348"/>
    <d v="2025-12-05T16:37:07"/>
    <s v="66666666-6"/>
    <s v="Cliente ROJAS MAGALLANES Generico"/>
    <x v="5"/>
    <s v="Rojas Magallanes"/>
    <s v="Marisol"/>
    <n v="36871"/>
    <n v="0"/>
    <n v="0"/>
    <s v="D√©bito"/>
    <s v="En Caja Operacional"/>
    <n v="4402"/>
    <m/>
    <n v="36871"/>
    <n v="30984.033613445379"/>
  </r>
  <r>
    <s v="Geronimo Mendez"/>
    <n v="220347"/>
    <d v="2025-12-05T16:28:29"/>
    <s v="76156096-4"/>
    <s v="SERVICIOS Y TRANSPORTES JONATHAN FONTTZ RIVERA EIRL"/>
    <x v="8"/>
    <s v="Ventas Local"/>
    <s v="Maiko"/>
    <n v="98246"/>
    <n v="0"/>
    <n v="0"/>
    <s v="D√©bito"/>
    <s v="En Caja Operacional"/>
    <n v="803425"/>
    <m/>
    <n v="98246"/>
    <n v="82559.663865546216"/>
  </r>
  <r>
    <s v="Geronimo Mendez"/>
    <n v="220346"/>
    <d v="2025-12-05T16:04:47"/>
    <s v="77331017-3"/>
    <s v="SERVICIOS INTEGRALES DE MECANICA AUTOMOTRIZ SPA"/>
    <x v="14"/>
    <s v="Ventas Local"/>
    <s v="SoporteVenta"/>
    <n v="144138"/>
    <n v="0"/>
    <n v="0"/>
    <s v="Efectivo"/>
    <s v="En Caja Operacional"/>
    <m/>
    <m/>
    <n v="144138"/>
    <n v="121124.36974789917"/>
  </r>
  <r>
    <s v="Linares"/>
    <n v="220345"/>
    <d v="2025-12-05T15:41:21"/>
    <s v="66666666-6"/>
    <s v="Cliente LINARES Generico"/>
    <x v="1"/>
    <s v="Linares"/>
    <s v="Eduardo"/>
    <n v="45806"/>
    <n v="0"/>
    <n v="0"/>
    <s v="D√©bito"/>
    <s v="En Caja Operacional"/>
    <n v="39830"/>
    <m/>
    <n v="45806"/>
    <n v="38492.436974789918"/>
  </r>
  <r>
    <s v="Geronimo Mendez"/>
    <n v="220344"/>
    <d v="2025-12-05T15:32:07"/>
    <s v="77331017-3"/>
    <s v="SERVICIOS INTEGRALES DE MECANICA AUTOMOTRIZ SPA"/>
    <x v="14"/>
    <s v="Ventas Local"/>
    <s v="SoporteVenta"/>
    <n v="144138"/>
    <n v="0"/>
    <n v="0"/>
    <s v="Efectivo"/>
    <s v="En Caja Operacional"/>
    <m/>
    <m/>
    <n v="144138"/>
    <n v="121124.36974789917"/>
  </r>
  <r>
    <s v="Rojas Magallanes"/>
    <n v="220343"/>
    <d v="2025-12-05T15:31:55"/>
    <s v="66666666-6"/>
    <s v="Cliente ROJAS MAGALLANES Generico"/>
    <x v="5"/>
    <s v="Rojas Magallanes"/>
    <s v="Marisol"/>
    <n v="5200"/>
    <n v="0"/>
    <n v="0"/>
    <s v="D√©bito"/>
    <s v="En Caja Operacional"/>
    <n v="128470"/>
    <m/>
    <n v="5200"/>
    <n v="4369.7478991596645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2105238"/>
    <d v="2025-12-22T00:00:00"/>
    <n v="486000"/>
    <n v="408403.36134453781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2105239"/>
    <d v="2026-01-09T00:00:00"/>
    <n v="486000"/>
    <n v="408403.36134453781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2105240"/>
    <d v="2026-01-23T00:00:00"/>
    <n v="486000"/>
    <n v="408403.36134453781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3681436"/>
    <d v="2026-02-13T00:00:00"/>
    <n v="486000"/>
    <n v="408403.36134453781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3681437"/>
    <d v="2026-02-27T00:00:00"/>
    <n v="486000"/>
    <n v="408403.36134453781"/>
  </r>
  <r>
    <s v="Geronimo Mendez"/>
    <n v="220342"/>
    <d v="2025-12-05T15:06:02"/>
    <s v="77715243-2"/>
    <s v="LOGISTICA E INVERSIONES SAUCE NORTE SPA"/>
    <x v="2"/>
    <s v="Ventas Local"/>
    <s v="SoporteVenta"/>
    <n v="2915809"/>
    <n v="0"/>
    <n v="0"/>
    <s v="Cheque"/>
    <s v="En Caja Operacional"/>
    <n v="3681438"/>
    <d v="2026-03-13T00:00:00"/>
    <n v="485809"/>
    <n v="408242.85714285716"/>
  </r>
  <r>
    <s v="Antillanca"/>
    <n v="220341"/>
    <d v="2025-12-05T14:44:27"/>
    <s v="93602000-3"/>
    <s v="BRIDGESTONE FIRESTONE CHILE S.A."/>
    <x v="16"/>
    <s v="Antillanca"/>
    <s v="Nataly"/>
    <n v="808605"/>
    <n v="0"/>
    <n v="0"/>
    <s v="Transferencia"/>
    <s v="En Caja Operacional"/>
    <n v="80"/>
    <m/>
    <n v="808605"/>
    <n v="679500"/>
  </r>
  <r>
    <s v="Antillanca"/>
    <n v="220340"/>
    <d v="2025-12-05T14:43:35"/>
    <s v="93602000-3"/>
    <s v="BRIDGESTONE FIRESTONE CHILE S.A."/>
    <x v="16"/>
    <s v="Antillanca"/>
    <s v="Nataly"/>
    <n v="738990"/>
    <n v="0"/>
    <n v="0"/>
    <s v="Transferencia"/>
    <s v="En Caja Operacional"/>
    <n v="97"/>
    <m/>
    <n v="738990"/>
    <n v="621000"/>
  </r>
  <r>
    <s v="Antillanca"/>
    <n v="220339"/>
    <d v="2025-12-05T14:34:02"/>
    <s v="76390904-2"/>
    <s v="TRANSPORTES VERONICA SOTO ESCOBEDO E I R L"/>
    <x v="16"/>
    <s v="Antillanca"/>
    <s v="Nataly"/>
    <n v="751414"/>
    <n v="0"/>
    <n v="0"/>
    <s v="Cr√©dito"/>
    <s v="En Caja Operacional"/>
    <n v="7566"/>
    <m/>
    <n v="751414"/>
    <n v="631440.33613445377"/>
  </r>
  <r>
    <s v="Rojas Magallanes"/>
    <n v="220338"/>
    <d v="2025-12-05T13:38:02"/>
    <s v="66666666-6"/>
    <s v="Cliente ROJAS MAGALLANES Generico"/>
    <x v="5"/>
    <s v="Rojas Magallanes"/>
    <s v="Marisol"/>
    <n v="46452"/>
    <n v="0"/>
    <n v="0"/>
    <s v="Cr√©dito"/>
    <s v="En Caja Operacional"/>
    <n v="481939"/>
    <m/>
    <n v="46452"/>
    <n v="39035.294117647063"/>
  </r>
  <r>
    <s v="Geronimo Mendez"/>
    <n v="220337"/>
    <d v="2025-12-05T13:04:26"/>
    <s v="77500195-K"/>
    <s v="GALVEZ AUTOMECANICA SPA"/>
    <x v="8"/>
    <s v="Ventas Local"/>
    <s v="Maiko"/>
    <n v="39947"/>
    <n v="0"/>
    <n v="0"/>
    <s v="D√©bito"/>
    <s v="En Caja Operacional"/>
    <n v="29754"/>
    <m/>
    <n v="39947"/>
    <n v="33568.907563025212"/>
  </r>
  <r>
    <s v="Linares"/>
    <n v="220336"/>
    <d v="2025-12-05T13:02:08"/>
    <s v="66666666-6"/>
    <s v="Cliente LINARES Generico"/>
    <x v="1"/>
    <s v="Linares"/>
    <s v="Eduardo"/>
    <n v="26000"/>
    <n v="0"/>
    <n v="285"/>
    <s v="D√©bito"/>
    <s v="En Caja Operacional"/>
    <n v="148109"/>
    <m/>
    <n v="26000"/>
    <n v="21848.73949579832"/>
  </r>
  <r>
    <s v="Linares"/>
    <n v="220335"/>
    <d v="2025-12-05T12:57:01"/>
    <s v="66666666-6"/>
    <s v="Cliente LINARES Generico"/>
    <x v="1"/>
    <s v="Linares"/>
    <s v="Eduardo"/>
    <n v="48376"/>
    <n v="0"/>
    <n v="0"/>
    <s v="D√©bito"/>
    <s v="En Caja Operacional"/>
    <n v="601032"/>
    <m/>
    <n v="48376"/>
    <n v="40652.100840336134"/>
  </r>
  <r>
    <s v="Geronimo Mendez"/>
    <n v="220334"/>
    <d v="2025-12-05T12:49:59"/>
    <s v="76156521-4"/>
    <s v="COBRA MONTAJES SERVICIOS Y AGUA LIMITADA"/>
    <x v="8"/>
    <s v="Ventas Local"/>
    <s v="SoporteVenta"/>
    <n v="1379096"/>
    <n v="0"/>
    <n v="0"/>
    <s v="Transferencia"/>
    <s v="En Caja Operacional"/>
    <n v="81"/>
    <m/>
    <n v="1379096"/>
    <n v="1158904.2016806724"/>
  </r>
  <r>
    <s v="Rojas Magallanes"/>
    <n v="220333"/>
    <d v="2025-12-05T12:34:49"/>
    <s v="66666666-6"/>
    <s v="Cliente ROJAS MAGALLANES Generico"/>
    <x v="5"/>
    <s v="Rojas Magallanes"/>
    <s v="Marisol"/>
    <n v="106754"/>
    <n v="0"/>
    <n v="0"/>
    <s v="Cr√©dito"/>
    <s v="En Caja Operacional"/>
    <n v="581192"/>
    <m/>
    <n v="106754"/>
    <n v="89709.243697478989"/>
  </r>
  <r>
    <s v="Geronimo Mendez"/>
    <n v="220332"/>
    <d v="2025-12-05T12:22:18"/>
    <s v="10436602-3"/>
    <s v="EDWARD RAMOS"/>
    <x v="2"/>
    <s v="Ventas Local"/>
    <s v="SoporteVenta"/>
    <n v="134241"/>
    <n v="0"/>
    <n v="0"/>
    <s v="D√©bito"/>
    <s v="En Caja Operacional"/>
    <n v="201742"/>
    <m/>
    <n v="134241"/>
    <n v="112807.56302521008"/>
  </r>
  <r>
    <s v="Linares"/>
    <n v="220331"/>
    <d v="2025-12-05T12:19:12"/>
    <s v="66666666-6"/>
    <s v="Cliente LINARES Generico"/>
    <x v="1"/>
    <s v="Linares"/>
    <s v="Eduardo"/>
    <n v="31475"/>
    <n v="0"/>
    <n v="0"/>
    <s v="Efectivo"/>
    <s v="En Caja Operacional"/>
    <m/>
    <m/>
    <n v="31475"/>
    <n v="26449.579831932773"/>
  </r>
  <r>
    <s v="Linares"/>
    <n v="220330"/>
    <d v="2025-12-05T12:00:42"/>
    <s v="77802991-K"/>
    <s v="DISTRIBUIDORA DEL OLMO SPA"/>
    <x v="1"/>
    <s v="Linares"/>
    <s v="Eduardo"/>
    <n v="77866"/>
    <n v="0"/>
    <n v="0"/>
    <s v="D√©bito"/>
    <s v="En Caja Operacional"/>
    <n v="926739"/>
    <m/>
    <n v="77866"/>
    <n v="65433.613445378156"/>
  </r>
  <r>
    <s v="Ovalle"/>
    <n v="220329"/>
    <d v="2025-12-05T11:56:00"/>
    <s v="66666666-6"/>
    <s v="Cliente OVALLE Generico"/>
    <x v="6"/>
    <s v="Ovalle"/>
    <s v="Emilio"/>
    <n v="31904"/>
    <n v="0"/>
    <n v="0"/>
    <s v="D√©bito"/>
    <s v="En Caja Operacional"/>
    <n v="535411"/>
    <m/>
    <n v="31904"/>
    <n v="26810.084033613446"/>
  </r>
  <r>
    <s v="Linares"/>
    <n v="220328"/>
    <d v="2025-12-05T11:35:51"/>
    <s v="66666666-6"/>
    <s v="Cliente LINARES Generico"/>
    <x v="1"/>
    <s v="Linares"/>
    <s v="Eduardo"/>
    <n v="95950"/>
    <n v="0"/>
    <n v="0"/>
    <s v="D√©bito"/>
    <s v="En Caja Operacional"/>
    <n v="502298"/>
    <m/>
    <n v="95950"/>
    <n v="80630.252100840342"/>
  </r>
  <r>
    <s v="Antillanca"/>
    <n v="220327"/>
    <d v="2025-12-05T11:28:48"/>
    <s v="77563796-K"/>
    <s v="ECOFOSA SPA"/>
    <x v="9"/>
    <s v="Antillanca"/>
    <s v="Nataly"/>
    <n v="1127120"/>
    <n v="0"/>
    <n v="0"/>
    <s v="Cheque"/>
    <s v="En Caja Operacional"/>
    <n v="1935302"/>
    <d v="2026-02-04T00:00:00"/>
    <n v="281000"/>
    <n v="236134.45378151262"/>
  </r>
  <r>
    <s v="Antillanca"/>
    <n v="220327"/>
    <d v="2025-12-05T11:28:48"/>
    <s v="77563796-K"/>
    <s v="ECOFOSA SPA"/>
    <x v="9"/>
    <s v="Antillanca"/>
    <s v="Nataly"/>
    <n v="1127120"/>
    <n v="0"/>
    <n v="0"/>
    <s v="Cheque"/>
    <s v="En Caja Operacional"/>
    <n v="1935303"/>
    <d v="2026-03-04T00:00:00"/>
    <n v="281000"/>
    <n v="236134.45378151262"/>
  </r>
  <r>
    <s v="Antillanca"/>
    <n v="220327"/>
    <d v="2025-12-05T11:28:48"/>
    <s v="77563796-K"/>
    <s v="ECOFOSA SPA"/>
    <x v="9"/>
    <s v="Antillanca"/>
    <s v="Nataly"/>
    <n v="1127120"/>
    <n v="0"/>
    <n v="0"/>
    <s v="Cheque"/>
    <s v="En Caja Operacional"/>
    <n v="1395304"/>
    <s v="00-00-0000"/>
    <n v="284120"/>
    <n v="238756.30252100842"/>
  </r>
  <r>
    <s v="Antillanca"/>
    <n v="220327"/>
    <d v="2025-12-05T11:28:48"/>
    <s v="77563796-K"/>
    <s v="ECOFOSA SPA"/>
    <x v="9"/>
    <s v="Antillanca"/>
    <s v="Nataly"/>
    <n v="1127120"/>
    <n v="0"/>
    <n v="0"/>
    <s v="Cheque"/>
    <s v="En Caja Operacional"/>
    <n v="1935301"/>
    <d v="2026-01-04T00:00:00"/>
    <n v="281000"/>
    <n v="236134.45378151262"/>
  </r>
  <r>
    <s v="Rojas Magallanes"/>
    <n v="220326"/>
    <d v="2025-12-05T11:27:22"/>
    <s v="66666666-6"/>
    <s v="Cliente ROJAS MAGALLANES Generico"/>
    <x v="5"/>
    <s v="Rojas Magallanes"/>
    <s v="Marisol"/>
    <n v="31350"/>
    <n v="0"/>
    <n v="0"/>
    <s v="D√©bito"/>
    <s v="En Caja Operacional"/>
    <n v="700180"/>
    <m/>
    <n v="31350"/>
    <n v="26344.537815126052"/>
  </r>
  <r>
    <s v="Antillanca"/>
    <n v="220325"/>
    <d v="2025-12-05T11:23:43"/>
    <s v="77305738-9"/>
    <s v="TRANSPORTES RIVEROS SPA"/>
    <x v="9"/>
    <s v="Antillanca"/>
    <s v="Nataly"/>
    <n v="471240"/>
    <n v="0"/>
    <n v="0"/>
    <s v="D√©bito"/>
    <s v="En Caja Operacional"/>
    <n v="4566"/>
    <m/>
    <n v="171240"/>
    <n v="143899.15966386555"/>
  </r>
  <r>
    <s v="Antillanca"/>
    <n v="220325"/>
    <d v="2025-12-05T11:23:43"/>
    <s v="77305738-9"/>
    <s v="TRANSPORTES RIVEROS SPA"/>
    <x v="9"/>
    <s v="Antillanca"/>
    <s v="Nataly"/>
    <n v="471240"/>
    <n v="0"/>
    <n v="0"/>
    <s v="Cheque"/>
    <s v="En Caja Operacional"/>
    <n v="327"/>
    <d v="2026-02-03T00:00:00"/>
    <n v="150000"/>
    <n v="126050.42016806723"/>
  </r>
  <r>
    <s v="Antillanca"/>
    <n v="220325"/>
    <d v="2025-12-05T11:23:43"/>
    <s v="77305738-9"/>
    <s v="TRANSPORTES RIVEROS SPA"/>
    <x v="9"/>
    <s v="Antillanca"/>
    <s v="Nataly"/>
    <n v="471240"/>
    <n v="0"/>
    <n v="0"/>
    <s v="Cheque"/>
    <s v="En Caja Operacional"/>
    <n v="326"/>
    <d v="2026-01-03T00:00:00"/>
    <n v="150000"/>
    <n v="126050.42016806723"/>
  </r>
  <r>
    <s v="Geronimo Mendez"/>
    <n v="220324"/>
    <d v="2025-12-05T11:20:25"/>
    <s v="76430232-K"/>
    <s v="ALVARO GALLEGUILLOS LOPEZ CARGA Y TRANSP"/>
    <x v="6"/>
    <s v="Ajustes"/>
    <s v="Angelo"/>
    <n v="1426327"/>
    <n v="0"/>
    <n v="0"/>
    <s v="Efectivo"/>
    <s v="En Caja Operacional"/>
    <m/>
    <m/>
    <n v="1426327"/>
    <n v="1198594.1176470588"/>
  </r>
  <r>
    <s v="Antillanca"/>
    <n v="220323"/>
    <d v="2025-12-05T11:19:56"/>
    <s v="12692631-6"/>
    <s v="CRISTIAN MAURICIO RODRIGUEZ"/>
    <x v="10"/>
    <s v="Antillanca"/>
    <s v="Nataly"/>
    <n v="442076"/>
    <n v="0"/>
    <n v="0"/>
    <s v="Cheque"/>
    <s v="En Caja Operacional"/>
    <n v="6406806"/>
    <d v="2025-12-25T00:00:00"/>
    <n v="442076"/>
    <n v="371492.43697478995"/>
  </r>
  <r>
    <s v="Antillanca"/>
    <n v="220322"/>
    <d v="2025-12-05T11:14:42"/>
    <s v="10123338-3"/>
    <s v="CRISTIAN RENE FUENZALIDA"/>
    <x v="7"/>
    <s v="Antillanca"/>
    <s v="Nataly"/>
    <n v="409468"/>
    <n v="0"/>
    <n v="0"/>
    <s v="Cheque"/>
    <s v="En Caja Operacional"/>
    <n v="5425554"/>
    <d v="2026-01-28T00:00:00"/>
    <n v="102500"/>
    <n v="86134.45378151261"/>
  </r>
  <r>
    <s v="Antillanca"/>
    <n v="220322"/>
    <d v="2025-12-05T11:14:42"/>
    <s v="10123338-3"/>
    <s v="CRISTIAN RENE FUENZALIDA"/>
    <x v="7"/>
    <s v="Antillanca"/>
    <s v="Nataly"/>
    <n v="409468"/>
    <n v="0"/>
    <n v="0"/>
    <s v="Cheque"/>
    <s v="En Caja Operacional"/>
    <n v="5425553"/>
    <d v="2025-12-30T00:00:00"/>
    <n v="102764"/>
    <n v="86356.302521008402"/>
  </r>
  <r>
    <s v="Antillanca"/>
    <n v="220322"/>
    <d v="2025-12-05T11:14:42"/>
    <s v="10123338-3"/>
    <s v="CRISTIAN RENE FUENZALIDA"/>
    <x v="7"/>
    <s v="Antillanca"/>
    <s v="Nataly"/>
    <n v="409468"/>
    <n v="0"/>
    <n v="0"/>
    <s v="Cheque"/>
    <s v="En Caja Operacional"/>
    <n v="5419353"/>
    <d v="2025-12-14T00:00:00"/>
    <n v="102204"/>
    <n v="85885.71428571429"/>
  </r>
  <r>
    <s v="Antillanca"/>
    <n v="220322"/>
    <d v="2025-12-05T11:14:42"/>
    <s v="10123338-3"/>
    <s v="CRISTIAN RENE FUENZALIDA"/>
    <x v="7"/>
    <s v="Antillanca"/>
    <s v="Nataly"/>
    <n v="409468"/>
    <n v="0"/>
    <n v="0"/>
    <s v="Cheque"/>
    <s v="En Caja Operacional"/>
    <n v="5419354"/>
    <d v="2026-01-14T00:00:00"/>
    <n v="102000"/>
    <n v="85714.285714285725"/>
  </r>
  <r>
    <s v="Antillanca"/>
    <n v="220321"/>
    <d v="2025-12-05T11:11:54"/>
    <s v="77363028-3"/>
    <s v="TRANSPORTES DREYER SPA"/>
    <x v="13"/>
    <s v="Antillanca"/>
    <s v="Nataly"/>
    <n v="242316"/>
    <n v="0"/>
    <n v="475"/>
    <s v="Cheque"/>
    <s v="En Caja Operacional"/>
    <n v="273"/>
    <d v="2025-12-28T00:00:00"/>
    <n v="121158"/>
    <n v="101813.44537815127"/>
  </r>
  <r>
    <s v="Antillanca"/>
    <n v="220321"/>
    <d v="2025-12-05T11:11:54"/>
    <s v="77363028-3"/>
    <s v="TRANSPORTES DREYER SPA"/>
    <x v="13"/>
    <s v="Antillanca"/>
    <s v="Nataly"/>
    <n v="242316"/>
    <n v="0"/>
    <n v="475"/>
    <s v="Cheque"/>
    <s v="En Caja Operacional"/>
    <n v="274"/>
    <d v="2026-01-28T00:00:00"/>
    <n v="121158"/>
    <n v="101813.44537815127"/>
  </r>
  <r>
    <s v="Antillanca"/>
    <n v="220320"/>
    <d v="2025-12-05T11:09:54"/>
    <s v="50978870-7"/>
    <s v="PASTEN AGUILAR MATILDE Y OTRA"/>
    <x v="7"/>
    <s v="Antillanca"/>
    <s v="Nataly"/>
    <n v="620092"/>
    <n v="0"/>
    <n v="0"/>
    <s v="Cheque"/>
    <s v="En Caja Operacional"/>
    <n v="1000"/>
    <d v="2026-01-18T00:00:00"/>
    <n v="277985"/>
    <n v="233600.84033613445"/>
  </r>
  <r>
    <s v="Antillanca"/>
    <n v="220320"/>
    <d v="2025-12-05T11:09:54"/>
    <s v="50978870-7"/>
    <s v="PASTEN AGUILAR MATILDE Y OTRA"/>
    <x v="7"/>
    <s v="Antillanca"/>
    <s v="Nataly"/>
    <n v="620092"/>
    <n v="0"/>
    <n v="0"/>
    <s v="Cheque"/>
    <s v="En Caja Operacional"/>
    <n v="1001"/>
    <d v="2026-01-25T00:00:00"/>
    <n v="342107"/>
    <n v="287484.87394957984"/>
  </r>
  <r>
    <s v="Linares"/>
    <n v="220319"/>
    <d v="2025-12-05T11:09:31"/>
    <s v="66666666-6"/>
    <s v="Cliente LINARES Generico"/>
    <x v="1"/>
    <s v="Linares"/>
    <s v="Eduardo"/>
    <n v="75010"/>
    <n v="0"/>
    <n v="0"/>
    <s v="D√©bito"/>
    <s v="En Caja Operacional"/>
    <n v="82080"/>
    <m/>
    <n v="75010"/>
    <n v="63033.613445378156"/>
  </r>
  <r>
    <s v="Geronimo Mendez"/>
    <n v="220319"/>
    <d v="2025-12-05T11:07:41"/>
    <s v="76675885-1"/>
    <s v="SOCIEDAD RIVERA MONTENEGRO Y CIA.LTDA."/>
    <x v="4"/>
    <s v="Ventas Local"/>
    <s v="SoporteVenta"/>
    <n v="452897"/>
    <n v="0"/>
    <n v="0"/>
    <s v="Transferencia"/>
    <s v="En Caja Operacional"/>
    <n v="92"/>
    <m/>
    <n v="452897"/>
    <n v="380585.71428571432"/>
  </r>
  <r>
    <s v="Geronimo Mendez"/>
    <n v="220318"/>
    <d v="2025-12-05T11:02:51"/>
    <s v="79716590-5"/>
    <s v="COMERCIAL REQUENA HNOS. LTDA."/>
    <x v="4"/>
    <s v="Cobranzas"/>
    <s v="Maria"/>
    <n v="106172"/>
    <n v="0"/>
    <n v="0"/>
    <s v="Transferencia"/>
    <s v="En Caja Operacional"/>
    <n v="91"/>
    <m/>
    <n v="106172"/>
    <n v="89220.168067226899"/>
  </r>
  <r>
    <s v="Ovalle"/>
    <n v="220317"/>
    <d v="2025-12-05T11:01:49"/>
    <s v="17112462-K"/>
    <s v="CARLA ROMINA LA ROSA"/>
    <x v="4"/>
    <s v="Cobranzas"/>
    <s v="Maria"/>
    <n v="101659"/>
    <n v="0"/>
    <n v="0"/>
    <s v="Transferencia"/>
    <s v="En Caja Operacional"/>
    <n v="53"/>
    <m/>
    <n v="101659"/>
    <n v="85427.731092436981"/>
  </r>
  <r>
    <s v="Geronimo Mendez"/>
    <n v="220316"/>
    <d v="2025-12-05T10:47:22"/>
    <s v="76014281-6"/>
    <s v="ANTARTIC SEAFOOD S.A"/>
    <x v="8"/>
    <s v="Ventas Local"/>
    <s v="Maiko"/>
    <n v="7497"/>
    <n v="0"/>
    <n v="0"/>
    <s v="D√©bito"/>
    <s v="En Caja Operacional"/>
    <n v="465759"/>
    <m/>
    <n v="7497"/>
    <n v="6300"/>
  </r>
  <r>
    <s v="Geronimo Mendez"/>
    <n v="220315"/>
    <d v="2025-12-05T10:37:47"/>
    <s v="77753448-3"/>
    <s v="TRANSPORTES DITORRES SPA"/>
    <x v="8"/>
    <s v="Ventas Local"/>
    <s v="Maiko"/>
    <n v="224356"/>
    <n v="0"/>
    <n v="0"/>
    <s v="D√©bito"/>
    <s v="En Caja Operacional"/>
    <n v="717205"/>
    <m/>
    <n v="224356"/>
    <n v="188534.45378151262"/>
  </r>
  <r>
    <s v="Rojas Magallanes"/>
    <n v="220314"/>
    <d v="2025-12-05T10:36:15"/>
    <s v="66666666-6"/>
    <s v="Cliente ROJAS MAGALLANES Generico"/>
    <x v="5"/>
    <s v="Rojas Magallanes"/>
    <s v="Marisol"/>
    <n v="25715"/>
    <n v="0"/>
    <n v="0"/>
    <s v="D√©bito"/>
    <s v="En Caja Operacional"/>
    <n v="552728"/>
    <m/>
    <n v="25715"/>
    <n v="21609.243697478993"/>
  </r>
  <r>
    <s v="Linares"/>
    <n v="220313"/>
    <d v="2025-12-05T10:34:57"/>
    <s v="66666666-6"/>
    <s v="Cliente LINARES Generico"/>
    <x v="1"/>
    <s v="Linares"/>
    <s v="Eduardo"/>
    <n v="31475"/>
    <n v="0"/>
    <n v="0"/>
    <s v="D√©bito"/>
    <s v="En Caja Operacional"/>
    <n v="415090"/>
    <m/>
    <n v="31475"/>
    <n v="26449.579831932773"/>
  </r>
  <r>
    <s v="Antillanca"/>
    <n v="220312"/>
    <d v="2025-12-05T10:34:56"/>
    <s v="77756681-4"/>
    <s v="IMPORTADORA Y COMERCIALIZADORA GARAJE INFINITO SPA"/>
    <x v="10"/>
    <s v="Antillanca"/>
    <s v="Nataly"/>
    <n v="204204"/>
    <n v="0"/>
    <n v="0"/>
    <s v="D√©bito"/>
    <s v="En Caja Operacional"/>
    <n v="2"/>
    <m/>
    <n v="204204"/>
    <n v="171600"/>
  </r>
  <r>
    <s v="Antillanca"/>
    <n v="220311"/>
    <d v="2025-12-05T10:30:57"/>
    <s v="15328273-0"/>
    <s v="FERNANDO ANDRES HERNANDEZ"/>
    <x v="10"/>
    <s v="Antillanca"/>
    <s v="Nataly"/>
    <n v="526167"/>
    <n v="0"/>
    <n v="0"/>
    <s v="Transferencia"/>
    <s v="En Caja Operacional"/>
    <n v="78"/>
    <m/>
    <n v="526167"/>
    <n v="442157.1428571429"/>
  </r>
  <r>
    <s v="Antillanca"/>
    <n v="220310"/>
    <d v="2025-12-05T10:27:24"/>
    <s v="78144260-7"/>
    <s v="BUSES AHUMADA LIMITADA"/>
    <x v="9"/>
    <s v="Antillanca"/>
    <s v="Nataly"/>
    <n v="1707353"/>
    <n v="0"/>
    <n v="0"/>
    <s v="Transferencia"/>
    <s v="En Caja Operacional"/>
    <n v="76"/>
    <m/>
    <n v="1707353"/>
    <n v="1434750.4201680673"/>
  </r>
  <r>
    <s v="Ovalle"/>
    <n v="220309"/>
    <d v="2025-12-05T10:12:39"/>
    <s v="66666666-6"/>
    <s v="Cliente OVALLE Generico"/>
    <x v="6"/>
    <s v="Ovalle"/>
    <s v="Emilio"/>
    <n v="77794"/>
    <n v="0"/>
    <n v="0"/>
    <s v="Efectivo"/>
    <s v="En Caja Operacional"/>
    <m/>
    <m/>
    <n v="77794"/>
    <n v="65373.10924369748"/>
  </r>
  <r>
    <s v="Rojas Magallanes"/>
    <n v="220308"/>
    <d v="2025-12-05T10:07:38"/>
    <s v="66666666-6"/>
    <s v="Cliente ROJAS MAGALLANES Generico"/>
    <x v="5"/>
    <s v="Rojas Magallanes"/>
    <s v="Marisol"/>
    <n v="100010"/>
    <n v="0"/>
    <n v="0"/>
    <s v="D√©bito"/>
    <s v="En Caja Operacional"/>
    <n v="827136"/>
    <m/>
    <n v="20000"/>
    <n v="16806.722689075632"/>
  </r>
  <r>
    <s v="Rojas Magallanes"/>
    <n v="220308"/>
    <d v="2025-12-05T10:07:38"/>
    <s v="66666666-6"/>
    <s v="Cliente ROJAS MAGALLANES Generico"/>
    <x v="5"/>
    <s v="Rojas Magallanes"/>
    <s v="Marisol"/>
    <n v="100010"/>
    <n v="0"/>
    <n v="0"/>
    <s v="D√©bito"/>
    <s v="En Caja Operacional"/>
    <n v="659095"/>
    <m/>
    <n v="80010"/>
    <n v="67235.294117647063"/>
  </r>
  <r>
    <s v="Linares"/>
    <n v="220307"/>
    <d v="2025-12-05T10:04:36"/>
    <s v="66666666-6"/>
    <s v="Cliente LINARES Generico"/>
    <x v="1"/>
    <s v="Linares"/>
    <s v="Eduardo"/>
    <n v="57199"/>
    <n v="0"/>
    <n v="0"/>
    <s v="D√©bito"/>
    <s v="En Caja Operacional"/>
    <n v="359551"/>
    <m/>
    <n v="57199"/>
    <n v="48066.386554621851"/>
  </r>
  <r>
    <s v="Geronimo Mendez"/>
    <n v="220306"/>
    <d v="2025-12-05T10:00:02"/>
    <s v="8528516-5"/>
    <s v="CARLOS ALBERTO  PROVOSTE"/>
    <x v="2"/>
    <s v="Contraloria"/>
    <s v="Selene"/>
    <n v="336123"/>
    <n v="0"/>
    <n v="0"/>
    <s v="Transferencia"/>
    <s v="En Caja Operacional"/>
    <n v="275359"/>
    <m/>
    <n v="336123"/>
    <n v="282456.30252100842"/>
  </r>
  <r>
    <s v="Ovalle"/>
    <n v="220305"/>
    <d v="2025-12-05T09:42:13"/>
    <s v="77298259-3"/>
    <s v="TRANSPORTES CLAUDIO AVALOS BALCAZAR E I R L"/>
    <x v="6"/>
    <s v="Ovalle"/>
    <s v="Emilio"/>
    <n v="185650"/>
    <n v="0"/>
    <n v="0"/>
    <s v="D√©bito"/>
    <s v="En Caja Operacional"/>
    <n v="400068"/>
    <m/>
    <n v="185650"/>
    <n v="156008.40336134454"/>
  </r>
  <r>
    <s v="Linares"/>
    <n v="220304"/>
    <d v="2025-12-05T09:35:26"/>
    <s v="66666666-6"/>
    <s v="Cliente LINARES Generico"/>
    <x v="1"/>
    <s v="Linares"/>
    <s v="Eduardo"/>
    <n v="175407"/>
    <n v="0"/>
    <n v="0"/>
    <s v="D√©bito"/>
    <s v="En Caja Operacional"/>
    <n v="450896"/>
    <m/>
    <n v="175407"/>
    <n v="147400.84033613445"/>
  </r>
  <r>
    <s v="Geronimo Mendez"/>
    <n v="220303"/>
    <d v="2025-12-05T09:28:05"/>
    <s v="13174943-0"/>
    <s v="PEDRO ARAYA"/>
    <x v="2"/>
    <s v="Cobranzas"/>
    <s v="Maria"/>
    <n v="259840"/>
    <n v="0"/>
    <n v="0"/>
    <s v="Transferencia"/>
    <s v="En Caja Operacional"/>
    <n v="272592"/>
    <m/>
    <n v="259840"/>
    <n v="218352.9411764706"/>
  </r>
  <r>
    <s v="Geronimo Mendez"/>
    <n v="220302"/>
    <d v="2025-12-05T09:19:34"/>
    <s v="78218072-K"/>
    <s v="COMERCIALIZADORA DE REPTOS AUT. FRANCISCO FLORES EIRL"/>
    <x v="4"/>
    <s v="Ventas Local"/>
    <s v="Maiko"/>
    <n v="68323"/>
    <n v="0"/>
    <n v="0"/>
    <s v="Efectivo"/>
    <s v="En Caja Operacional"/>
    <m/>
    <m/>
    <n v="68323"/>
    <n v="57414.285714285717"/>
  </r>
  <r>
    <s v="Geronimo Mendez"/>
    <n v="220301"/>
    <d v="2025-12-05T08:59:47"/>
    <s v="66666666-6"/>
    <s v="Cliente GERONIMO MENDEZ Generico"/>
    <x v="8"/>
    <s v="Ventas Local"/>
    <s v="Maiko"/>
    <n v="86254"/>
    <n v="0"/>
    <n v="0"/>
    <s v="Efectivo"/>
    <s v="En Caja Operacional"/>
    <m/>
    <m/>
    <n v="86254"/>
    <n v="72482.352941176476"/>
  </r>
  <r>
    <s v="Geronimo Mendez"/>
    <n v="220300"/>
    <d v="2025-12-05T08:57:16"/>
    <s v="77103221-4"/>
    <s v="MOVIMIENTO DE TIERRA TERRA NOSTRA SPA"/>
    <x v="8"/>
    <s v="Ventas Local"/>
    <s v="SoporteVenta"/>
    <n v="86408"/>
    <n v="0"/>
    <n v="0"/>
    <s v="D√©bito"/>
    <s v="En Caja Operacional"/>
    <n v="9193"/>
    <m/>
    <n v="86408"/>
    <n v="72611.76470588235"/>
  </r>
  <r>
    <s v="Geronimo Mendez"/>
    <n v="220299"/>
    <d v="2025-12-05T08:53:41"/>
    <s v="76665805-9"/>
    <s v="CORTRUCK SPA"/>
    <x v="8"/>
    <s v="Ventas Local"/>
    <s v="Maiko"/>
    <n v="1164318"/>
    <n v="0"/>
    <n v="0"/>
    <s v="Cheque"/>
    <s v="En Caja Operacional"/>
    <n v="2906587"/>
    <d v="2026-01-04T00:00:00"/>
    <n v="400000"/>
    <n v="336134.45378151262"/>
  </r>
  <r>
    <s v="Geronimo Mendez"/>
    <n v="220299"/>
    <d v="2025-12-05T08:53:41"/>
    <s v="76665805-9"/>
    <s v="CORTRUCK SPA"/>
    <x v="8"/>
    <s v="Ventas Local"/>
    <s v="Maiko"/>
    <n v="1164318"/>
    <n v="0"/>
    <n v="0"/>
    <s v="Cheque"/>
    <s v="En Caja Operacional"/>
    <n v="2906588"/>
    <d v="2026-02-04T00:00:00"/>
    <n v="400000"/>
    <n v="336134.45378151262"/>
  </r>
  <r>
    <s v="Geronimo Mendez"/>
    <n v="220299"/>
    <d v="2025-12-05T08:53:41"/>
    <s v="76665805-9"/>
    <s v="CORTRUCK SPA"/>
    <x v="8"/>
    <s v="Ventas Local"/>
    <s v="Maiko"/>
    <n v="1164318"/>
    <n v="0"/>
    <n v="0"/>
    <s v="Cheque"/>
    <s v="En Caja Operacional"/>
    <n v="2906589"/>
    <d v="2026-03-04T00:00:00"/>
    <n v="364318"/>
    <n v="306149.57983193279"/>
  </r>
  <r>
    <s v="Linares"/>
    <n v="220298"/>
    <d v="2025-12-04T18:05:01"/>
    <s v="9262987-2"/>
    <s v="EDUARDO ENRIQUE PONCE"/>
    <x v="1"/>
    <s v="Linares"/>
    <s v="Eduardo"/>
    <n v="88408"/>
    <n v="0"/>
    <n v="0"/>
    <s v="Efectivo"/>
    <s v="En Caja Operacional"/>
    <m/>
    <m/>
    <n v="23408"/>
    <n v="19670.588235294119"/>
  </r>
  <r>
    <s v="Linares"/>
    <n v="220298"/>
    <d v="2025-12-04T18:05:01"/>
    <s v="9262987-2"/>
    <s v="EDUARDO ENRIQUE PONCE"/>
    <x v="1"/>
    <s v="Linares"/>
    <s v="Eduardo"/>
    <n v="88408"/>
    <n v="0"/>
    <n v="0"/>
    <s v="D√©bito"/>
    <s v="En Caja Operacional"/>
    <n v="16565"/>
    <m/>
    <n v="40000"/>
    <n v="33613.445378151264"/>
  </r>
  <r>
    <s v="Linares"/>
    <n v="220298"/>
    <d v="2025-12-04T18:05:01"/>
    <s v="9262987-2"/>
    <s v="EDUARDO ENRIQUE PONCE"/>
    <x v="1"/>
    <s v="Linares"/>
    <s v="Eduardo"/>
    <n v="88408"/>
    <n v="0"/>
    <n v="0"/>
    <s v="D√©bito"/>
    <s v="En Caja Operacional"/>
    <n v="853771"/>
    <m/>
    <n v="25000"/>
    <n v="21008.403361344539"/>
  </r>
  <r>
    <s v="Linares"/>
    <n v="220296"/>
    <d v="2025-12-04T17:11:17"/>
    <s v="76691776-3"/>
    <s v="ARACENA Y LEMAIRE SPA"/>
    <x v="1"/>
    <s v="Linares"/>
    <s v="Eduardo"/>
    <n v="39947"/>
    <n v="0"/>
    <n v="0"/>
    <s v="D√©bito"/>
    <s v="En Caja Operacional"/>
    <n v="2987"/>
    <m/>
    <n v="39947"/>
    <n v="33568.907563025212"/>
  </r>
  <r>
    <s v="Ovalle"/>
    <n v="220295"/>
    <d v="2025-12-04T17:07:52"/>
    <s v="66666666-6"/>
    <s v="Cliente OVALLE Generico"/>
    <x v="6"/>
    <s v="Ovalle"/>
    <s v="Emilio"/>
    <n v="7001"/>
    <n v="0"/>
    <n v="0"/>
    <s v="Efectivo"/>
    <s v="En Caja Operacional"/>
    <m/>
    <m/>
    <n v="7001"/>
    <n v="5883.1932773109247"/>
  </r>
  <r>
    <s v="Geronimo Mendez"/>
    <n v="220294"/>
    <d v="2025-12-04T17:02:48"/>
    <s v="76014281-6"/>
    <s v="ANTARTIC SEAFOOD S.A"/>
    <x v="8"/>
    <s v="Ventas Local"/>
    <s v="SoporteVenta"/>
    <n v="844491"/>
    <n v="0"/>
    <n v="0"/>
    <s v="Transferencia"/>
    <s v="En Caja Operacional"/>
    <n v="275432"/>
    <m/>
    <n v="844491"/>
    <n v="709656.30252100842"/>
  </r>
  <r>
    <s v="Rojas Magallanes"/>
    <n v="220293"/>
    <d v="2025-12-04T16:48:26"/>
    <s v="66666666-6"/>
    <s v="Cliente ROJAS MAGALLANES Generico"/>
    <x v="5"/>
    <s v="Rojas Magallanes"/>
    <s v="Marisol"/>
    <n v="267580"/>
    <n v="0"/>
    <n v="0"/>
    <s v="Cr√©dito"/>
    <s v="En Caja Operacional"/>
    <n v="466591"/>
    <m/>
    <n v="267580"/>
    <n v="224857.14285714287"/>
  </r>
  <r>
    <s v="Geronimo Mendez"/>
    <n v="220292"/>
    <d v="2025-12-04T16:32:59"/>
    <s v="76360138-2"/>
    <s v="TRANSPORTES DIAZ Y BARRERA LIMITADA"/>
    <x v="8"/>
    <s v="Ventas Local"/>
    <s v="Maiko"/>
    <n v="182827"/>
    <n v="0"/>
    <n v="0"/>
    <s v="Cr√©dito"/>
    <s v="En Caja Operacional"/>
    <n v="890081"/>
    <m/>
    <n v="182827"/>
    <n v="153636.13445378153"/>
  </r>
  <r>
    <s v="Ovalle"/>
    <n v="220291"/>
    <d v="2025-12-04T16:23:14"/>
    <s v="77217167-6"/>
    <s v="RYM SPA"/>
    <x v="6"/>
    <s v="Ovalle"/>
    <s v="Emilio"/>
    <n v="11917"/>
    <n v="0"/>
    <n v="0"/>
    <s v="D√©bito"/>
    <s v="En Caja Operacional"/>
    <n v="253145"/>
    <m/>
    <n v="11917"/>
    <n v="10014.285714285716"/>
  </r>
  <r>
    <s v="Geronimo Mendez"/>
    <n v="220290"/>
    <d v="2025-12-04T15:43:04"/>
    <s v="77030649-3"/>
    <s v="SERVICIO DE GRUA Y ARRIENDO DE MAQUINARIA SERGRUMAQ SPA"/>
    <x v="8"/>
    <s v="Ventas Local"/>
    <s v="SoporteVenta"/>
    <n v="537433"/>
    <n v="0"/>
    <n v="0"/>
    <s v="D√©bito"/>
    <s v="En Caja Operacional"/>
    <n v="212422"/>
    <m/>
    <n v="537433"/>
    <n v="451624.36974789918"/>
  </r>
  <r>
    <s v="Geronimo Mendez"/>
    <n v="220289"/>
    <d v="2025-12-04T15:38:42"/>
    <s v="12576930-6"/>
    <s v="WARY FLORES"/>
    <x v="8"/>
    <s v="Ventas Local"/>
    <s v="Maiko"/>
    <n v="146898"/>
    <n v="0"/>
    <n v="0"/>
    <s v="D√©bito"/>
    <s v="En Caja Operacional"/>
    <n v="363752"/>
    <m/>
    <n v="146898"/>
    <n v="123443.6974789916"/>
  </r>
  <r>
    <s v="Linares"/>
    <n v="220288"/>
    <d v="2025-12-04T15:27:49"/>
    <s v="66666666-6"/>
    <s v="Cliente LINARES Generico"/>
    <x v="1"/>
    <s v="Linares"/>
    <s v="Eduardo"/>
    <n v="30611"/>
    <n v="0"/>
    <n v="0"/>
    <s v="D√©bito"/>
    <s v="En Caja Operacional"/>
    <n v="706466"/>
    <m/>
    <n v="30611"/>
    <n v="25723.529411764706"/>
  </r>
  <r>
    <s v="Linares"/>
    <n v="220287"/>
    <d v="2025-12-04T15:16:44"/>
    <s v="66666666-6"/>
    <s v="Cliente LINARES Generico"/>
    <x v="1"/>
    <s v="Linares"/>
    <s v="Eduardo"/>
    <n v="72759"/>
    <n v="0"/>
    <n v="0"/>
    <s v="Efectivo"/>
    <s v="En Caja Operacional"/>
    <m/>
    <m/>
    <n v="66159"/>
    <n v="55595.798319327732"/>
  </r>
  <r>
    <s v="Linares"/>
    <n v="220287"/>
    <d v="2025-12-04T15:16:44"/>
    <s v="66666666-6"/>
    <s v="Cliente LINARES Generico"/>
    <x v="1"/>
    <s v="Linares"/>
    <s v="Eduardo"/>
    <n v="72759"/>
    <n v="0"/>
    <n v="0"/>
    <s v="D√©bito"/>
    <s v="En Caja Operacional"/>
    <n v="32031"/>
    <m/>
    <n v="6600"/>
    <n v="5546.2184873949582"/>
  </r>
  <r>
    <s v="Geronimo Mendez"/>
    <n v="220286"/>
    <d v="2025-12-04T15:13:01"/>
    <s v="6276438-4"/>
    <s v="IVAR TORRES"/>
    <x v="8"/>
    <s v="Ventas Local"/>
    <s v="Maiko"/>
    <n v="288275"/>
    <n v="0"/>
    <n v="0"/>
    <s v="D√©bito"/>
    <s v="En Caja Operacional"/>
    <n v="218662"/>
    <m/>
    <n v="288275"/>
    <n v="242247.89915966388"/>
  </r>
  <r>
    <s v="Rojas Magallanes"/>
    <n v="220285"/>
    <d v="2025-12-04T13:22:56"/>
    <s v="66666666-6"/>
    <s v="Cliente ROJAS MAGALLANES Generico"/>
    <x v="5"/>
    <s v="Rojas Magallanes"/>
    <s v="Marisol"/>
    <n v="46948"/>
    <n v="0"/>
    <n v="0"/>
    <s v="Efectivo"/>
    <s v="En Caja Operacional"/>
    <m/>
    <m/>
    <n v="46948"/>
    <n v="39452.100840336134"/>
  </r>
  <r>
    <s v="Geronimo Mendez"/>
    <n v="220284"/>
    <d v="2025-12-04T13:18:25"/>
    <s v="76446294-7"/>
    <s v="TRANSPORTES SAN SEBASTIAN LIMITADA"/>
    <x v="8"/>
    <s v="Ventas Local"/>
    <s v="SoporteVenta"/>
    <n v="3646565"/>
    <n v="0"/>
    <n v="0"/>
    <s v="Cheque"/>
    <s v="En Caja Operacional"/>
    <n v="6560123"/>
    <d v="2025-12-15T00:00:00"/>
    <n v="900000"/>
    <n v="756302.52100840339"/>
  </r>
  <r>
    <s v="Geronimo Mendez"/>
    <n v="220284"/>
    <d v="2025-12-04T13:18:25"/>
    <s v="76446294-7"/>
    <s v="TRANSPORTES SAN SEBASTIAN LIMITADA"/>
    <x v="8"/>
    <s v="Ventas Local"/>
    <s v="SoporteVenta"/>
    <n v="3646565"/>
    <n v="0"/>
    <n v="0"/>
    <s v="Cheque"/>
    <s v="En Caja Operacional"/>
    <n v="6560124"/>
    <d v="2026-01-15T00:00:00"/>
    <n v="900000"/>
    <n v="756302.52100840339"/>
  </r>
  <r>
    <s v="Geronimo Mendez"/>
    <n v="220284"/>
    <d v="2025-12-04T13:18:25"/>
    <s v="76446294-7"/>
    <s v="TRANSPORTES SAN SEBASTIAN LIMITADA"/>
    <x v="8"/>
    <s v="Ventas Local"/>
    <s v="SoporteVenta"/>
    <n v="3646565"/>
    <n v="0"/>
    <n v="0"/>
    <s v="Cheque"/>
    <s v="En Caja Operacional"/>
    <n v="6560125"/>
    <d v="2026-02-15T00:00:00"/>
    <n v="900000"/>
    <n v="756302.52100840339"/>
  </r>
  <r>
    <s v="Geronimo Mendez"/>
    <n v="220284"/>
    <d v="2025-12-04T13:18:25"/>
    <s v="76446294-7"/>
    <s v="TRANSPORTES SAN SEBASTIAN LIMITADA"/>
    <x v="8"/>
    <s v="Ventas Local"/>
    <s v="SoporteVenta"/>
    <n v="3646565"/>
    <n v="0"/>
    <n v="0"/>
    <s v="Cheque"/>
    <s v="En Caja Operacional"/>
    <n v="6560126"/>
    <d v="2026-03-15T00:00:00"/>
    <n v="946565"/>
    <n v="795432.77310924372"/>
  </r>
  <r>
    <s v="Geronimo Mendez"/>
    <n v="220283"/>
    <d v="2025-12-04T12:41:59"/>
    <s v="66666666-6"/>
    <s v="Cliente retail generico"/>
    <x v="17"/>
    <s v="Ventas Local"/>
    <s v="SoporteVenta"/>
    <n v="118406"/>
    <n v="0"/>
    <n v="0"/>
    <s v="Cr√©dito"/>
    <s v="En Caja Operacional"/>
    <n v="150573"/>
    <m/>
    <n v="118406"/>
    <n v="99500.840336134454"/>
  </r>
  <r>
    <s v="Geronimo Mendez"/>
    <n v="220282"/>
    <d v="2025-12-04T12:31:36"/>
    <s v="12267788-5"/>
    <s v="CARLOS EDUARDO  CORREA"/>
    <x v="4"/>
    <s v="Ventas Local"/>
    <s v="SoporteVenta"/>
    <n v="194441"/>
    <n v="0"/>
    <n v="0"/>
    <s v="Transferencia"/>
    <s v="En Caja Operacional"/>
    <n v="275425"/>
    <m/>
    <n v="194441"/>
    <n v="163395.79831932773"/>
  </r>
  <r>
    <s v="Geronimo Mendez"/>
    <n v="220281"/>
    <d v="2025-12-04T12:11:48"/>
    <s v="11805902-6"/>
    <s v="JAIME MANUEL CLAVERIA"/>
    <x v="8"/>
    <s v="Ventas Local"/>
    <s v="Maiko"/>
    <n v="78785"/>
    <n v="0"/>
    <n v="0"/>
    <s v="D√©bito"/>
    <s v="En Caja Operacional"/>
    <n v="8255"/>
    <m/>
    <n v="78785"/>
    <n v="66205.882352941175"/>
  </r>
  <r>
    <s v="Geronimo Mendez"/>
    <n v="220280"/>
    <d v="2025-12-04T11:57:09"/>
    <s v="76632163-1"/>
    <s v="SOC. COM. Y DISTRIBUIDORA CENTURION LTDA"/>
    <x v="0"/>
    <s v="Contraloria"/>
    <s v="Selene"/>
    <n v="2955711"/>
    <n v="0"/>
    <n v="0"/>
    <s v="Cheque"/>
    <s v="En Caja Operacional"/>
    <n v="4577330"/>
    <d v="2025-12-03T00:00:00"/>
    <n v="1500000"/>
    <n v="1260504.2016806724"/>
  </r>
  <r>
    <s v="Geronimo Mendez"/>
    <n v="220280"/>
    <d v="2025-12-04T11:57:09"/>
    <s v="76632163-1"/>
    <s v="SOC. COM. Y DISTRIBUIDORA CENTURION LTDA"/>
    <x v="0"/>
    <s v="Contraloria"/>
    <s v="Selene"/>
    <n v="2955711"/>
    <n v="0"/>
    <n v="0"/>
    <s v="Cheque"/>
    <s v="En Caja Operacional"/>
    <n v="4577331"/>
    <d v="2025-12-25T00:00:00"/>
    <n v="1455711"/>
    <n v="1223286.5546218487"/>
  </r>
  <r>
    <s v="Ovalle"/>
    <n v="220279"/>
    <d v="2025-12-04T11:50:25"/>
    <s v="78451170-7"/>
    <s v="CORRETAJES TORRES Y COMPANIA LIMITADA"/>
    <x v="6"/>
    <s v="Ovalle"/>
    <s v="Emilio"/>
    <n v="68034"/>
    <n v="0"/>
    <n v="0"/>
    <s v="D√©bito"/>
    <s v="En Caja Operacional"/>
    <n v="6693"/>
    <m/>
    <n v="68034"/>
    <n v="57171.428571428572"/>
  </r>
  <r>
    <s v="Linares"/>
    <n v="220278"/>
    <d v="2025-12-04T11:43:23"/>
    <s v="66666666-6"/>
    <s v="Cliente LINARES Generico"/>
    <x v="1"/>
    <s v="Linares"/>
    <s v="Eduardo"/>
    <n v="51103"/>
    <n v="0"/>
    <n v="0"/>
    <s v="D√©bito"/>
    <s v="En Caja Operacional"/>
    <n v="105330"/>
    <m/>
    <n v="51103"/>
    <n v="42943.697478991598"/>
  </r>
  <r>
    <s v="Ovalle"/>
    <n v="220277"/>
    <d v="2025-12-04T11:33:29"/>
    <s v="77307843-2"/>
    <s v="COMERCIAL PAULA FRANCISCA MILLA ORTIZ EIRL"/>
    <x v="4"/>
    <s v="Ovalle"/>
    <s v="Emilio"/>
    <n v="85904"/>
    <n v="0"/>
    <n v="0"/>
    <s v="Efectivo"/>
    <s v="En Caja Operacional"/>
    <m/>
    <m/>
    <n v="85904"/>
    <n v="72188.23529411765"/>
  </r>
  <r>
    <s v="Linares"/>
    <n v="220276"/>
    <d v="2025-12-04T11:31:50"/>
    <s v="66666666-6"/>
    <s v="Cliente LINARES Generico"/>
    <x v="1"/>
    <s v="Linares"/>
    <s v="Eduardo"/>
    <n v="46875"/>
    <n v="0"/>
    <n v="0"/>
    <s v="D√©bito"/>
    <s v="En Caja Operacional"/>
    <n v="20240"/>
    <m/>
    <n v="46875"/>
    <n v="39390.756302521011"/>
  </r>
  <r>
    <s v="Linares"/>
    <n v="220275"/>
    <d v="2025-12-04T11:25:41"/>
    <s v="66666666-6"/>
    <s v="Cliente LINARES Generico"/>
    <x v="1"/>
    <s v="Linares"/>
    <s v="Eduardo"/>
    <n v="45707"/>
    <n v="0"/>
    <n v="0"/>
    <s v="D√©bito"/>
    <s v="En Caja Operacional"/>
    <n v="451750"/>
    <m/>
    <n v="45707"/>
    <n v="38409.243697478996"/>
  </r>
  <r>
    <s v="Geronimo Mendez"/>
    <n v="220274"/>
    <d v="2025-12-04T11:12:22"/>
    <s v="6168270-8"/>
    <s v="JOSE JOFRE"/>
    <x v="4"/>
    <s v="Contraloria"/>
    <s v="Selene"/>
    <n v="113622"/>
    <n v="0"/>
    <n v="0"/>
    <s v="Efectivo"/>
    <s v="En Caja Operacional"/>
    <m/>
    <m/>
    <n v="113622"/>
    <n v="95480.672268907569"/>
  </r>
  <r>
    <s v="Linares"/>
    <n v="220273"/>
    <d v="2025-12-04T11:11:37"/>
    <s v="66666666-6"/>
    <s v="Cliente LINARES Generico"/>
    <x v="1"/>
    <s v="Linares"/>
    <s v="Eduardo"/>
    <n v="65891"/>
    <n v="0"/>
    <n v="0"/>
    <s v="D√©bito"/>
    <s v="En Caja Operacional"/>
    <n v="103025"/>
    <m/>
    <n v="65891"/>
    <n v="55370.588235294119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4"/>
    <d v="2026-01-03T00:00:00"/>
    <n v="325000"/>
    <n v="273109.24369747902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5"/>
    <d v="2026-01-09T00:00:00"/>
    <n v="325000"/>
    <n v="273109.24369747902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6"/>
    <d v="2026-01-16T00:00:00"/>
    <n v="325000"/>
    <n v="273109.24369747902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7"/>
    <d v="2026-01-21T00:00:00"/>
    <n v="325000"/>
    <n v="273109.24369747902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8"/>
    <d v="2026-01-26T00:00:00"/>
    <n v="325000"/>
    <n v="273109.24369747902"/>
  </r>
  <r>
    <s v="Geronimo Mendez"/>
    <n v="220272"/>
    <d v="2025-12-04T11:11:13"/>
    <s v="9811782-2"/>
    <s v="IVAN FLORES"/>
    <x v="4"/>
    <s v="Contraloria"/>
    <s v="Selene"/>
    <n v="1950500"/>
    <n v="0"/>
    <n v="0"/>
    <s v="Cheque"/>
    <s v="En Caja Operacional"/>
    <n v="36279"/>
    <d v="2026-01-30T00:00:00"/>
    <n v="325500"/>
    <n v="273529.4117647059"/>
  </r>
  <r>
    <s v="Ovalle"/>
    <n v="220271"/>
    <d v="2025-12-04T11:08:54"/>
    <s v="12569531-0"/>
    <s v="EMILIO SANTOS"/>
    <x v="6"/>
    <s v="Ovalle"/>
    <s v="Emilio"/>
    <n v="74176"/>
    <n v="0"/>
    <n v="0"/>
    <s v="Efectivo"/>
    <s v="En Caja Operacional"/>
    <m/>
    <m/>
    <n v="14176"/>
    <n v="11912.605042016807"/>
  </r>
  <r>
    <s v="Geronimo Mendez"/>
    <n v="220271"/>
    <d v="2025-12-04T11:08:54"/>
    <s v="77795958-1"/>
    <s v="EPAC SPA"/>
    <x v="8"/>
    <s v="Ventas Local"/>
    <s v="Maiko"/>
    <n v="91710"/>
    <n v="0"/>
    <n v="0"/>
    <s v="Efectivo"/>
    <s v="En Caja Operacional"/>
    <m/>
    <m/>
    <n v="91710"/>
    <n v="77067.226890756312"/>
  </r>
  <r>
    <s v="Ovalle"/>
    <n v="220271"/>
    <d v="2025-12-04T11:08:54"/>
    <s v="12569531-0"/>
    <s v="EMILIO SANTOS"/>
    <x v="6"/>
    <s v="Ovalle"/>
    <s v="Emilio"/>
    <n v="74176"/>
    <n v="0"/>
    <n v="0"/>
    <s v="D√©bito"/>
    <s v="En Caja Operacional"/>
    <n v="822097"/>
    <m/>
    <n v="60000"/>
    <n v="50420.168067226892"/>
  </r>
  <r>
    <s v="Geronimo Mendez"/>
    <n v="220270"/>
    <d v="2025-12-04T11:07:33"/>
    <s v="12581658-4"/>
    <s v="VICTOR ALIAGA"/>
    <x v="4"/>
    <s v="Contraloria"/>
    <s v="Selene"/>
    <n v="838847"/>
    <n v="0"/>
    <n v="0"/>
    <s v="Cheque"/>
    <s v="En Caja Operacional"/>
    <n v="2145848"/>
    <d v="2026-01-05T00:00:00"/>
    <n v="270000"/>
    <n v="226890.75630252101"/>
  </r>
  <r>
    <s v="Geronimo Mendez"/>
    <n v="220270"/>
    <d v="2025-12-04T11:07:33"/>
    <s v="12581658-4"/>
    <s v="VICTOR ALIAGA"/>
    <x v="4"/>
    <s v="Contraloria"/>
    <s v="Selene"/>
    <n v="838847"/>
    <n v="0"/>
    <n v="0"/>
    <s v="Cheque"/>
    <s v="En Caja Operacional"/>
    <n v="2145849"/>
    <d v="2026-02-05T00:00:00"/>
    <n v="270000"/>
    <n v="226890.75630252101"/>
  </r>
  <r>
    <s v="Geronimo Mendez"/>
    <n v="220270"/>
    <d v="2025-12-04T11:07:33"/>
    <s v="12581658-4"/>
    <s v="VICTOR ALIAGA"/>
    <x v="4"/>
    <s v="Contraloria"/>
    <s v="Selene"/>
    <n v="838847"/>
    <n v="0"/>
    <n v="0"/>
    <s v="Cheque"/>
    <s v="En Caja Operacional"/>
    <n v="2145850"/>
    <d v="2026-03-05T00:00:00"/>
    <n v="298847"/>
    <n v="251131.93277310926"/>
  </r>
  <r>
    <s v="Geronimo Mendez"/>
    <n v="220269"/>
    <d v="2025-12-04T11:04:18"/>
    <s v="76673478-2"/>
    <s v="REPUESTOS GARAGE 400 LTDA"/>
    <x v="4"/>
    <s v="Contraloria"/>
    <s v="Selene"/>
    <n v="1509994"/>
    <n v="0"/>
    <n v="0"/>
    <s v="Cheque"/>
    <s v="En Caja Operacional"/>
    <n v="5252629"/>
    <d v="2025-12-04T00:00:00"/>
    <n v="301000"/>
    <n v="252941.17647058825"/>
  </r>
  <r>
    <s v="Geronimo Mendez"/>
    <n v="220269"/>
    <d v="2025-12-04T11:04:18"/>
    <s v="76673478-2"/>
    <s v="REPUESTOS GARAGE 400 LTDA"/>
    <x v="4"/>
    <s v="Contraloria"/>
    <s v="Selene"/>
    <n v="1509994"/>
    <n v="0"/>
    <n v="0"/>
    <s v="Cheque"/>
    <s v="En Caja Operacional"/>
    <n v="5252630"/>
    <d v="2025-12-24T00:00:00"/>
    <n v="301000"/>
    <n v="252941.17647058825"/>
  </r>
  <r>
    <s v="Geronimo Mendez"/>
    <n v="220269"/>
    <d v="2025-12-04T11:04:18"/>
    <s v="76673478-2"/>
    <s v="REPUESTOS GARAGE 400 LTDA"/>
    <x v="4"/>
    <s v="Contraloria"/>
    <s v="Selene"/>
    <n v="1509994"/>
    <n v="0"/>
    <n v="0"/>
    <s v="Cheque"/>
    <s v="En Caja Operacional"/>
    <n v="5252631"/>
    <d v="2026-01-07T00:00:00"/>
    <n v="301000"/>
    <n v="252941.17647058825"/>
  </r>
  <r>
    <s v="Geronimo Mendez"/>
    <n v="220269"/>
    <d v="2025-12-04T11:04:18"/>
    <s v="76673478-2"/>
    <s v="REPUESTOS GARAGE 400 LTDA"/>
    <x v="4"/>
    <s v="Contraloria"/>
    <s v="Selene"/>
    <n v="1509994"/>
    <n v="0"/>
    <n v="0"/>
    <s v="Cheque"/>
    <s v="En Caja Operacional"/>
    <n v="5252632"/>
    <d v="2026-01-19T00:00:00"/>
    <n v="301000"/>
    <n v="252941.17647058825"/>
  </r>
  <r>
    <s v="Geronimo Mendez"/>
    <n v="220269"/>
    <d v="2025-12-04T11:04:18"/>
    <s v="76673478-2"/>
    <s v="REPUESTOS GARAGE 400 LTDA"/>
    <x v="4"/>
    <s v="Contraloria"/>
    <s v="Selene"/>
    <n v="1509994"/>
    <n v="0"/>
    <n v="0"/>
    <s v="Cheque"/>
    <s v="En Caja Operacional"/>
    <n v="5252633"/>
    <d v="2026-02-05T00:00:00"/>
    <n v="305994"/>
    <n v="257137.81512605044"/>
  </r>
  <r>
    <s v="Geronimo Mendez"/>
    <n v="220268"/>
    <d v="2025-12-04T11:01:16"/>
    <s v="10654184-1"/>
    <s v="MARCOS ARAYA"/>
    <x v="4"/>
    <s v="Contraloria"/>
    <s v="Selene"/>
    <n v="98589"/>
    <n v="0"/>
    <n v="0"/>
    <s v="Cheque"/>
    <s v="En Caja Operacional"/>
    <n v="7800207"/>
    <d v="2025-12-05T00:00:00"/>
    <n v="98589"/>
    <n v="82847.899159663866"/>
  </r>
  <r>
    <s v="Linares"/>
    <n v="220267"/>
    <d v="2025-12-04T10:58:34"/>
    <s v="66666666-6"/>
    <s v="Cliente LINARES Generico"/>
    <x v="1"/>
    <s v="Linares"/>
    <s v="Eduardo"/>
    <n v="86254"/>
    <n v="0"/>
    <n v="0"/>
    <s v="Cr√©dito"/>
    <s v="En Caja Operacional"/>
    <n v="445447"/>
    <m/>
    <n v="86254"/>
    <n v="72482.352941176476"/>
  </r>
  <r>
    <s v="Geronimo Mendez"/>
    <n v="220266"/>
    <d v="2025-12-04T10:57:37"/>
    <s v="12567904-8"/>
    <s v="ALEJANDRA ARAYA"/>
    <x v="4"/>
    <s v="Contraloria"/>
    <s v="Selene"/>
    <n v="795379"/>
    <n v="0"/>
    <n v="0"/>
    <s v="Cheque"/>
    <s v="En Caja Operacional"/>
    <n v="5278695"/>
    <d v="2026-01-01T00:00:00"/>
    <n v="265126"/>
    <n v="222794.95798319328"/>
  </r>
  <r>
    <s v="Geronimo Mendez"/>
    <n v="220266"/>
    <d v="2025-12-04T10:57:37"/>
    <s v="12567904-8"/>
    <s v="ALEJANDRA ARAYA"/>
    <x v="4"/>
    <s v="Contraloria"/>
    <s v="Selene"/>
    <n v="795379"/>
    <n v="0"/>
    <n v="0"/>
    <s v="Cheque"/>
    <s v="En Caja Operacional"/>
    <n v="5278696"/>
    <d v="2026-02-01T00:00:00"/>
    <n v="265126"/>
    <n v="222794.95798319328"/>
  </r>
  <r>
    <s v="Geronimo Mendez"/>
    <n v="220266"/>
    <d v="2025-12-04T10:57:37"/>
    <s v="12567904-8"/>
    <s v="ALEJANDRA ARAYA"/>
    <x v="4"/>
    <s v="Contraloria"/>
    <s v="Selene"/>
    <n v="795379"/>
    <n v="0"/>
    <n v="0"/>
    <s v="Cheque"/>
    <s v="En Caja Operacional"/>
    <n v="5278697"/>
    <d v="2026-03-01T00:00:00"/>
    <n v="265127"/>
    <n v="222795.79831932773"/>
  </r>
  <r>
    <s v="Geronimo Mendez"/>
    <n v="220265"/>
    <d v="2025-12-04T10:53:33"/>
    <s v="76453948-6"/>
    <s v="SOC. COM. JULIO ANGEL Y CIA. LTDA."/>
    <x v="4"/>
    <s v="Contraloria"/>
    <s v="Selene"/>
    <n v="1289110"/>
    <n v="0"/>
    <n v="0"/>
    <s v="Cheque"/>
    <s v="En Caja Operacional"/>
    <n v="1901072"/>
    <d v="2025-12-29T00:00:00"/>
    <n v="429704"/>
    <n v="361095.79831932776"/>
  </r>
  <r>
    <s v="Geronimo Mendez"/>
    <n v="220265"/>
    <d v="2025-12-04T10:53:33"/>
    <s v="76453948-6"/>
    <s v="SOC. COM. JULIO ANGEL Y CIA. LTDA."/>
    <x v="4"/>
    <s v="Contraloria"/>
    <s v="Selene"/>
    <n v="1289110"/>
    <n v="0"/>
    <n v="0"/>
    <s v="Cheque"/>
    <s v="En Caja Operacional"/>
    <n v="1901073"/>
    <d v="2026-01-26T00:00:00"/>
    <n v="429703"/>
    <n v="361094.95798319328"/>
  </r>
  <r>
    <s v="Geronimo Mendez"/>
    <n v="220265"/>
    <d v="2025-12-04T10:53:33"/>
    <s v="76453948-6"/>
    <s v="SOC. COM. JULIO ANGEL Y CIA. LTDA."/>
    <x v="4"/>
    <s v="Contraloria"/>
    <s v="Selene"/>
    <n v="1289110"/>
    <n v="0"/>
    <n v="0"/>
    <s v="Cheque"/>
    <s v="En Caja Operacional"/>
    <n v="1901074"/>
    <d v="2026-02-26T00:00:00"/>
    <n v="429703"/>
    <n v="361094.95798319328"/>
  </r>
  <r>
    <s v="Geronimo Mendez"/>
    <n v="220264"/>
    <d v="2025-12-04T10:51:02"/>
    <s v="12095120-3"/>
    <s v="ALAMIRO ANTONIO ROJAS"/>
    <x v="0"/>
    <s v="Ventas Local"/>
    <s v="SoporteVenta"/>
    <n v="444865"/>
    <n v="0"/>
    <n v="0"/>
    <s v="Cheque"/>
    <s v="En Caja Operacional"/>
    <n v="7212401"/>
    <d v="2025-12-26T00:00:00"/>
    <n v="444865"/>
    <n v="373836.13445378153"/>
  </r>
  <r>
    <s v="Geronimo Mendez"/>
    <n v="220263"/>
    <d v="2025-12-04T10:50:47"/>
    <s v="77730636-7"/>
    <s v="A.V REPUESTOS LUBRICANTES Y SERVICIOS SPA"/>
    <x v="4"/>
    <s v="Contraloria"/>
    <s v="Selene"/>
    <n v="184530"/>
    <n v="0"/>
    <n v="0"/>
    <s v="Transferencia"/>
    <s v="En Caja Operacional"/>
    <n v="275039"/>
    <m/>
    <n v="184530"/>
    <n v="155067.22689075631"/>
  </r>
  <r>
    <s v="Ovalle"/>
    <n v="220262"/>
    <d v="2025-12-04T10:49:47"/>
    <s v="66666666-6"/>
    <s v="Cliente OVALLE Generico"/>
    <x v="6"/>
    <s v="Ovalle"/>
    <s v="Emilio"/>
    <n v="8730"/>
    <n v="0"/>
    <n v="0"/>
    <s v="D√©bito"/>
    <s v="En Caja Operacional"/>
    <n v="888856"/>
    <m/>
    <n v="8730"/>
    <n v="7336.134453781513"/>
  </r>
  <r>
    <s v="Geronimo Mendez"/>
    <n v="220261"/>
    <d v="2025-12-04T10:48:52"/>
    <s v="76046294-2"/>
    <s v="TRANSPORTES DURAN CASTILLO LTDA."/>
    <x v="0"/>
    <s v="Ventas Local"/>
    <s v="SoporteVenta"/>
    <n v="192383"/>
    <n v="0"/>
    <n v="192383"/>
    <s v="Cheque"/>
    <s v="En Caja Operacional"/>
    <n v="7212398"/>
    <d v="2026-01-15T00:00:00"/>
    <n v="0"/>
    <n v="0"/>
  </r>
  <r>
    <s v="Geronimo Mendez"/>
    <n v="220261"/>
    <d v="2025-12-04T10:48:52"/>
    <s v="76046294-2"/>
    <s v="TRANSPORTES DURAN CASTILLO LTDA."/>
    <x v="0"/>
    <s v="Ventas Local"/>
    <s v="SoporteVenta"/>
    <n v="192383"/>
    <n v="0"/>
    <n v="192383"/>
    <s v="Cheque"/>
    <s v="En Caja Operacional"/>
    <n v="7212399"/>
    <d v="2026-02-15T00:00:00"/>
    <n v="0"/>
    <n v="0"/>
  </r>
  <r>
    <s v="Geronimo Mendez"/>
    <n v="220261"/>
    <d v="2025-12-04T10:48:52"/>
    <s v="76046294-2"/>
    <s v="TRANSPORTES DURAN CASTILLO LTDA."/>
    <x v="0"/>
    <s v="Ventas Local"/>
    <s v="SoporteVenta"/>
    <n v="192383"/>
    <n v="0"/>
    <n v="192383"/>
    <s v="Cheque"/>
    <s v="En Caja Operacional"/>
    <n v="7212400"/>
    <d v="2026-03-15T00:00:00"/>
    <n v="192383"/>
    <n v="161666.38655462186"/>
  </r>
  <r>
    <s v="Geronimo Mendez"/>
    <n v="220260"/>
    <d v="2025-12-04T10:48:21"/>
    <s v="6985240-8"/>
    <s v="JOEL SAAVEDRA"/>
    <x v="2"/>
    <s v="Contraloria"/>
    <s v="Selene"/>
    <n v="431656"/>
    <n v="0"/>
    <n v="0"/>
    <s v="Transferencia"/>
    <s v="En Caja Operacional"/>
    <n v="275353"/>
    <m/>
    <n v="431656"/>
    <n v="362736.13445378153"/>
  </r>
  <r>
    <s v="Geronimo Mendez"/>
    <n v="220259"/>
    <d v="2025-12-04T10:46:23"/>
    <s v="9372524-7"/>
    <s v="ANA MARIA GONZALEZ"/>
    <x v="2"/>
    <s v="Contraloria"/>
    <s v="Selene"/>
    <n v="362239"/>
    <n v="0"/>
    <n v="0"/>
    <s v="Transferencia"/>
    <s v="En Caja Operacional"/>
    <n v="275354"/>
    <m/>
    <n v="362239"/>
    <n v="304402.52100840339"/>
  </r>
  <r>
    <s v="Geronimo Mendez"/>
    <n v="220258"/>
    <d v="2025-12-04T10:45:00"/>
    <s v="76743011-6"/>
    <s v="TRANSPORTES JORGE HUMBERTO MORENO MORENO EMPRESA INDIVIDUAL DE RESPONSABILIDA"/>
    <x v="2"/>
    <s v="Contraloria"/>
    <s v="Selene"/>
    <n v="1157044"/>
    <n v="0"/>
    <n v="0"/>
    <s v="Transferencia"/>
    <s v="En Caja Operacional"/>
    <n v="275356"/>
    <m/>
    <n v="1157044"/>
    <n v="972305.8823529412"/>
  </r>
  <r>
    <s v="Linares"/>
    <n v="220257"/>
    <d v="2025-12-04T10:43:45"/>
    <s v="66666666-6"/>
    <s v="Cliente LINARES Generico"/>
    <x v="1"/>
    <s v="Linares"/>
    <s v="Eduardo"/>
    <n v="25715"/>
    <n v="0"/>
    <n v="0"/>
    <s v="Efectivo"/>
    <s v="En Caja Operacional"/>
    <m/>
    <m/>
    <n v="25715"/>
    <n v="21609.243697478993"/>
  </r>
  <r>
    <s v="Geronimo Mendez"/>
    <n v="220256"/>
    <d v="2025-12-04T10:43:20"/>
    <s v="77946105-K"/>
    <s v="SR SERVICES SPA"/>
    <x v="2"/>
    <s v="Contraloria"/>
    <s v="Selene"/>
    <n v="1869752"/>
    <n v="0"/>
    <n v="0"/>
    <s v="Transferencia"/>
    <s v="En Caja Operacional"/>
    <n v="275357"/>
    <m/>
    <n v="488978"/>
    <n v="410905.8823529412"/>
  </r>
  <r>
    <s v="Geronimo Mendez"/>
    <n v="220256"/>
    <d v="2025-12-04T10:43:20"/>
    <s v="77946105-K"/>
    <s v="SR SERVICES SPA"/>
    <x v="2"/>
    <s v="Contraloria"/>
    <s v="Selene"/>
    <n v="1869752"/>
    <n v="0"/>
    <n v="0"/>
    <s v="Transferencia"/>
    <s v="En Caja Operacional"/>
    <n v="275357"/>
    <m/>
    <n v="186287"/>
    <n v="156543.69747899161"/>
  </r>
  <r>
    <s v="Geronimo Mendez"/>
    <n v="220256"/>
    <d v="2025-12-04T10:43:20"/>
    <s v="77946105-K"/>
    <s v="SR SERVICES SPA"/>
    <x v="2"/>
    <s v="Contraloria"/>
    <s v="Selene"/>
    <n v="1869752"/>
    <n v="0"/>
    <n v="0"/>
    <s v="Transferencia"/>
    <s v="En Caja Operacional"/>
    <n v="275357"/>
    <m/>
    <n v="1194487"/>
    <n v="1003770.5882352942"/>
  </r>
  <r>
    <s v="Geronimo Mendez"/>
    <n v="220255"/>
    <d v="2025-12-04T10:39:14"/>
    <s v="17866399-2"/>
    <s v="DANIEL ANDRES TAPIA"/>
    <x v="2"/>
    <s v="Contraloria"/>
    <s v="Selene"/>
    <n v="984108"/>
    <n v="0"/>
    <n v="0"/>
    <s v="Transferencia"/>
    <s v="En Caja Operacional"/>
    <n v="275358"/>
    <m/>
    <n v="984108"/>
    <n v="826981.51260504208"/>
  </r>
  <r>
    <s v="Geronimo Mendez"/>
    <n v="220254"/>
    <d v="2025-12-04T10:38:05"/>
    <s v="76294668-8"/>
    <s v="SOCIEDAD RECICLAJE RECICLEAN LIMITADA"/>
    <x v="0"/>
    <s v="Contraloria"/>
    <s v="Selene"/>
    <n v="1494774"/>
    <n v="0"/>
    <n v="0"/>
    <s v="Transferencia"/>
    <s v="En Caja Operacional"/>
    <n v="274897"/>
    <m/>
    <n v="1494774"/>
    <n v="1256112.6050420168"/>
  </r>
  <r>
    <s v="Geronimo Mendez"/>
    <n v="220253"/>
    <d v="2025-12-04T10:36:29"/>
    <s v="76444574-0"/>
    <s v="ARIDOS EXPRESS B&amp;C LIMITADA"/>
    <x v="0"/>
    <s v="Contraloria"/>
    <s v="Selene"/>
    <n v="589018"/>
    <n v="0"/>
    <n v="0"/>
    <s v="Transferencia"/>
    <s v="En Caja Operacional"/>
    <n v="274896"/>
    <m/>
    <n v="75717"/>
    <n v="63627.731092436981"/>
  </r>
  <r>
    <s v="Geronimo Mendez"/>
    <n v="220253"/>
    <d v="2025-12-04T10:36:29"/>
    <s v="76444574-0"/>
    <s v="ARIDOS EXPRESS B&amp;C LIMITADA"/>
    <x v="0"/>
    <s v="Contraloria"/>
    <s v="Selene"/>
    <n v="589018"/>
    <n v="0"/>
    <n v="0"/>
    <s v="Transferencia"/>
    <s v="En Caja Operacional"/>
    <n v="274896"/>
    <m/>
    <n v="2963"/>
    <n v="2489.9159663865548"/>
  </r>
  <r>
    <s v="Geronimo Mendez"/>
    <n v="220253"/>
    <d v="2025-12-04T10:36:29"/>
    <s v="76444574-0"/>
    <s v="ARIDOS EXPRESS B&amp;C LIMITADA"/>
    <x v="0"/>
    <s v="Contraloria"/>
    <s v="Selene"/>
    <n v="589018"/>
    <n v="0"/>
    <n v="0"/>
    <s v="Transferencia"/>
    <s v="En Caja Operacional"/>
    <n v="274896"/>
    <m/>
    <n v="250000"/>
    <n v="210084.03361344538"/>
  </r>
  <r>
    <s v="Geronimo Mendez"/>
    <n v="220253"/>
    <d v="2025-12-04T10:36:29"/>
    <s v="76444574-0"/>
    <s v="ARIDOS EXPRESS B&amp;C LIMITADA"/>
    <x v="0"/>
    <s v="Contraloria"/>
    <s v="Selene"/>
    <n v="589018"/>
    <n v="0"/>
    <n v="0"/>
    <s v="Transferencia"/>
    <s v="En Caja Operacional"/>
    <n v="274896"/>
    <m/>
    <n v="260338"/>
    <n v="218771.42857142858"/>
  </r>
  <r>
    <s v="Linares"/>
    <n v="220252"/>
    <d v="2025-12-04T10:32:52"/>
    <s v="76029096-3"/>
    <s v="SOC. COMERCIAL PINO LTDA."/>
    <x v="1"/>
    <s v="Linares"/>
    <s v="Eduardo"/>
    <n v="82807"/>
    <n v="0"/>
    <n v="0"/>
    <s v="Efectivo"/>
    <s v="En Caja Operacional"/>
    <m/>
    <m/>
    <n v="82807"/>
    <n v="69585.71428571429"/>
  </r>
  <r>
    <s v="Linares"/>
    <n v="220251"/>
    <d v="2025-12-04T10:23:29"/>
    <s v="66666666-6"/>
    <s v="Cliente LINARES Generico"/>
    <x v="1"/>
    <s v="Linares"/>
    <s v="Eduardo"/>
    <n v="44843"/>
    <n v="0"/>
    <n v="0"/>
    <s v="D√©bito"/>
    <s v="En Caja Operacional"/>
    <n v="2299"/>
    <m/>
    <n v="44843"/>
    <n v="37683.193277310929"/>
  </r>
  <r>
    <s v="Linares"/>
    <n v="220250"/>
    <d v="2025-12-04T10:14:39"/>
    <s v="66666666-6"/>
    <s v="Cliente LINARES Generico"/>
    <x v="1"/>
    <s v="Linares"/>
    <s v="Eduardo"/>
    <n v="26000"/>
    <n v="0"/>
    <n v="285"/>
    <s v="D√©bito"/>
    <s v="En Caja Operacional"/>
    <n v="357847"/>
    <m/>
    <n v="26000"/>
    <n v="21848.73949579832"/>
  </r>
  <r>
    <s v="Ovalle"/>
    <n v="220249"/>
    <d v="2025-12-04T10:09:55"/>
    <s v="20091660-3"/>
    <s v="CESAR CORTES"/>
    <x v="6"/>
    <s v="Ovalle"/>
    <s v="Emilio"/>
    <n v="371299"/>
    <n v="0"/>
    <n v="0"/>
    <s v="D√©bito"/>
    <s v="En Caja Operacional"/>
    <n v="8828"/>
    <m/>
    <n v="371299"/>
    <n v="312015.96638655465"/>
  </r>
  <r>
    <s v="Geronimo Mendez"/>
    <n v="220248"/>
    <d v="2025-12-04T10:02:45"/>
    <s v="13534181-9"/>
    <s v="RODRIGO GAMBOA"/>
    <x v="0"/>
    <s v="Contraloria"/>
    <s v="Selene"/>
    <n v="926546"/>
    <n v="0"/>
    <n v="0"/>
    <s v="Cheque"/>
    <s v="En Caja Operacional"/>
    <n v="2294317"/>
    <d v="2025-11-25T00:00:00"/>
    <n v="300000"/>
    <n v="252100.84033613445"/>
  </r>
  <r>
    <s v="Geronimo Mendez"/>
    <n v="220248"/>
    <d v="2025-12-04T10:02:45"/>
    <s v="13534181-9"/>
    <s v="RODRIGO GAMBOA"/>
    <x v="0"/>
    <s v="Contraloria"/>
    <s v="Selene"/>
    <n v="926546"/>
    <n v="0"/>
    <n v="0"/>
    <s v="Cheque"/>
    <s v="En Caja Operacional"/>
    <n v="2294319"/>
    <d v="2025-12-25T00:00:00"/>
    <n v="300000"/>
    <n v="252100.84033613445"/>
  </r>
  <r>
    <s v="Geronimo Mendez"/>
    <n v="220248"/>
    <d v="2025-12-04T10:02:45"/>
    <s v="13534181-9"/>
    <s v="RODRIGO GAMBOA"/>
    <x v="0"/>
    <s v="Contraloria"/>
    <s v="Selene"/>
    <n v="926546"/>
    <n v="0"/>
    <n v="0"/>
    <s v="Cheque"/>
    <s v="En Caja Operacional"/>
    <n v="2294321"/>
    <d v="2026-01-25T00:00:00"/>
    <n v="326546"/>
    <n v="274408.40336134454"/>
  </r>
  <r>
    <s v="Geronimo Mendez"/>
    <n v="220247"/>
    <d v="2025-12-04T09:59:36"/>
    <s v="7661407-5"/>
    <s v="ROSARIO CACERES"/>
    <x v="0"/>
    <s v="Contraloria"/>
    <s v="Selene"/>
    <n v="414672"/>
    <n v="0"/>
    <n v="0"/>
    <s v="Cheque"/>
    <s v="En Caja Operacional"/>
    <n v="1132"/>
    <d v="2026-01-02T00:00:00"/>
    <n v="103668"/>
    <n v="87115.966386554632"/>
  </r>
  <r>
    <s v="Geronimo Mendez"/>
    <n v="220247"/>
    <d v="2025-12-04T09:59:36"/>
    <s v="7661407-5"/>
    <s v="ROSARIO CACERES"/>
    <x v="0"/>
    <s v="Contraloria"/>
    <s v="Selene"/>
    <n v="414672"/>
    <n v="0"/>
    <n v="0"/>
    <s v="Cheque"/>
    <s v="En Caja Operacional"/>
    <n v="1133"/>
    <d v="2026-02-02T00:00:00"/>
    <n v="103668"/>
    <n v="87115.966386554632"/>
  </r>
  <r>
    <s v="Geronimo Mendez"/>
    <n v="220247"/>
    <d v="2025-12-04T09:59:36"/>
    <s v="7661407-5"/>
    <s v="ROSARIO CACERES"/>
    <x v="0"/>
    <s v="Contraloria"/>
    <s v="Selene"/>
    <n v="414672"/>
    <n v="0"/>
    <n v="0"/>
    <s v="Cheque"/>
    <s v="En Caja Operacional"/>
    <n v="1134"/>
    <d v="2026-03-02T00:00:00"/>
    <n v="103668"/>
    <n v="87115.966386554632"/>
  </r>
  <r>
    <s v="Geronimo Mendez"/>
    <n v="220247"/>
    <d v="2025-12-04T09:59:36"/>
    <s v="7661407-5"/>
    <s v="ROSARIO CACERES"/>
    <x v="0"/>
    <s v="Contraloria"/>
    <s v="Selene"/>
    <n v="414672"/>
    <n v="0"/>
    <n v="0"/>
    <s v="Cheque"/>
    <s v="En Caja Operacional"/>
    <n v="1135"/>
    <d v="2026-04-02T00:00:00"/>
    <n v="103668"/>
    <n v="87115.966386554632"/>
  </r>
  <r>
    <s v="Geronimo Mendez"/>
    <n v="220246"/>
    <d v="2025-12-04T09:56:14"/>
    <s v="9530253-K"/>
    <s v="JORGE CARVAJAL"/>
    <x v="0"/>
    <s v="Contraloria"/>
    <s v="Selene"/>
    <n v="435858"/>
    <n v="0"/>
    <n v="0"/>
    <s v="Cheque"/>
    <s v="En Caja Operacional"/>
    <n v="4608463"/>
    <d v="2025-12-26T00:00:00"/>
    <n v="435858"/>
    <n v="366267.22689075634"/>
  </r>
  <r>
    <s v="Geronimo Mendez"/>
    <n v="220245"/>
    <d v="2025-12-04T09:52:17"/>
    <s v="77059029-9"/>
    <s v="COMERCIALIZADORA DE FLEXIBLES REPUESTOS EN GENERAL SALVADOR ESTEBAN"/>
    <x v="2"/>
    <s v="Contraloria"/>
    <s v="Selene"/>
    <n v="628996"/>
    <n v="0"/>
    <n v="0"/>
    <s v="Transferencia"/>
    <s v="En Caja Operacional"/>
    <n v="275355"/>
    <m/>
    <n v="300000"/>
    <n v="252100.84033613445"/>
  </r>
  <r>
    <s v="Geronimo Mendez"/>
    <n v="220245"/>
    <d v="2025-12-04T09:52:17"/>
    <s v="77059029-9"/>
    <s v="COMERCIALIZADORA DE FLEXIBLES REPUESTOS EN GENERAL SALVADOR ESTEBAN"/>
    <x v="2"/>
    <s v="Contraloria"/>
    <s v="Selene"/>
    <n v="628996"/>
    <n v="0"/>
    <n v="0"/>
    <s v="Transferencia"/>
    <s v="En Caja Operacional"/>
    <n v="275355"/>
    <m/>
    <n v="328996"/>
    <n v="276467.22689075634"/>
  </r>
  <r>
    <s v="Geronimo Mendez"/>
    <n v="220244"/>
    <d v="2025-12-04T09:49:51"/>
    <s v="66666666-6"/>
    <s v="Cliente GERONIMO MENDEZ Generico"/>
    <x v="8"/>
    <s v="Ventas Local"/>
    <s v="SoporteVenta"/>
    <n v="123652"/>
    <n v="0"/>
    <n v="0"/>
    <s v="D√©bito"/>
    <s v="En Caja Operacional"/>
    <n v="673300"/>
    <m/>
    <n v="123652"/>
    <n v="103909.243697479"/>
  </r>
  <r>
    <s v="Linares"/>
    <n v="220243"/>
    <d v="2025-12-04T09:43:33"/>
    <s v="66666666-6"/>
    <s v="Cliente LINARES Generico"/>
    <x v="1"/>
    <s v="Linares"/>
    <s v="Eduardo"/>
    <n v="59226"/>
    <n v="0"/>
    <n v="0"/>
    <s v="Cr√©dito"/>
    <s v="En Caja Operacional"/>
    <n v="364331"/>
    <m/>
    <n v="59226"/>
    <n v="49769.747899159665"/>
  </r>
  <r>
    <s v="Geronimo Mendez"/>
    <n v="220242"/>
    <d v="2025-12-04T09:40:56"/>
    <s v="11537174-6"/>
    <s v="JUAN CARTES"/>
    <x v="4"/>
    <s v="Cobranzas"/>
    <s v="Maria"/>
    <n v="463674"/>
    <n v="0"/>
    <n v="0"/>
    <s v="Transferencia"/>
    <s v="En Caja Operacional"/>
    <n v="272590"/>
    <m/>
    <n v="463674"/>
    <n v="389642.01680672274"/>
  </r>
  <r>
    <s v="Geronimo Mendez"/>
    <n v="220241"/>
    <d v="2025-12-04T09:39:19"/>
    <s v="77055023-8"/>
    <s v="COMERCIALIZADORA Y TRANSPORTE VALLENORTE SPA"/>
    <x v="6"/>
    <s v="Cobranzas"/>
    <s v="Maria"/>
    <n v="214879"/>
    <n v="0"/>
    <n v="0"/>
    <s v="Cheque"/>
    <s v="En Caja Operacional"/>
    <n v="2317071"/>
    <d v="2025-12-08T00:00:00"/>
    <n v="214879"/>
    <n v="180570.58823529413"/>
  </r>
  <r>
    <s v="Geronimo Mendez"/>
    <n v="220240"/>
    <d v="2025-12-04T09:36:45"/>
    <s v="77795958-1"/>
    <s v="EPAC SPA"/>
    <x v="8"/>
    <s v="Ventas Local"/>
    <s v="SoporteVenta"/>
    <n v="217156"/>
    <n v="0"/>
    <n v="0"/>
    <s v="Efectivo"/>
    <s v="En Caja Operacional"/>
    <m/>
    <m/>
    <n v="217156"/>
    <n v="182484.03361344538"/>
  </r>
  <r>
    <s v="Geronimo Mendez"/>
    <n v="220239"/>
    <d v="2025-12-04T09:30:17"/>
    <s v="78218072-K"/>
    <s v="COMERCIALIZADORA DE REPTOS AUT. FRANCISCO FLORES EIRL"/>
    <x v="4"/>
    <s v="Ventas Local"/>
    <s v="SoporteVenta"/>
    <n v="31879"/>
    <n v="0"/>
    <n v="0"/>
    <s v="Efectivo"/>
    <s v="En Caja Operacional"/>
    <m/>
    <m/>
    <n v="31879"/>
    <n v="26789.0756302521"/>
  </r>
  <r>
    <s v="Geronimo Mendez"/>
    <n v="220238"/>
    <d v="2025-12-04T09:20:07"/>
    <s v="78218072-K"/>
    <s v="COMERCIALIZADORA DE REPTOS AUT. FRANCISCO FLORES EIRL"/>
    <x v="4"/>
    <s v="Ventas Local"/>
    <s v="SoporteVenta"/>
    <n v="151354"/>
    <n v="0"/>
    <n v="0"/>
    <s v="Efectivo"/>
    <s v="En Caja Operacional"/>
    <m/>
    <m/>
    <n v="151354"/>
    <n v="127188.23529411765"/>
  </r>
  <r>
    <s v="Linares"/>
    <n v="220237"/>
    <d v="2025-12-04T09:19:04"/>
    <s v="66666666-6"/>
    <s v="Cliente LINARES Generico"/>
    <x v="1"/>
    <s v="Linares"/>
    <s v="Eduardo"/>
    <n v="40590"/>
    <n v="0"/>
    <n v="0"/>
    <s v="Efectivo"/>
    <s v="En Caja Operacional"/>
    <m/>
    <m/>
    <n v="40590"/>
    <n v="34109.243697478996"/>
  </r>
  <r>
    <s v="Geronimo Mendez"/>
    <n v="220236"/>
    <d v="2025-12-04T09:09:11"/>
    <s v="6276438-4"/>
    <s v="IVAR TORRES"/>
    <x v="8"/>
    <s v="Ventas Local"/>
    <s v="Maiko"/>
    <n v="160189"/>
    <n v="0"/>
    <n v="0"/>
    <s v="Efectivo"/>
    <s v="En Caja Operacional"/>
    <m/>
    <m/>
    <n v="160189"/>
    <n v="134612.6050420168"/>
  </r>
  <r>
    <s v="Geronimo Mendez"/>
    <n v="220235"/>
    <d v="2025-12-04T08:45:53"/>
    <s v="77051227-1"/>
    <s v="TRANSPORTES MAITENCILLO SPA"/>
    <x v="8"/>
    <s v="Ventas Local"/>
    <s v="Maiko"/>
    <n v="442237"/>
    <n v="0"/>
    <n v="0"/>
    <s v="D√©bito"/>
    <s v="En Caja Operacional"/>
    <n v="481168"/>
    <m/>
    <n v="442237"/>
    <n v="371627.731092437"/>
  </r>
  <r>
    <s v="Rojas Magallanes"/>
    <n v="220234"/>
    <d v="2025-12-03T17:59:45"/>
    <s v="77493090-6"/>
    <s v="V y G ltda"/>
    <x v="5"/>
    <s v="Rojas Magallanes"/>
    <s v="Marisol"/>
    <n v="31475"/>
    <n v="0"/>
    <n v="0"/>
    <s v="Cr√©dito"/>
    <s v="En Caja Operacional"/>
    <n v="697675"/>
    <m/>
    <n v="31475"/>
    <n v="26449.579831932773"/>
  </r>
  <r>
    <s v="Geronimo Mendez"/>
    <n v="220233"/>
    <d v="2025-12-03T17:52:18"/>
    <s v="79976600-0"/>
    <s v="SOC. AGRICOLA Y TRANSPORTES ALFALFARES"/>
    <x v="0"/>
    <s v="Contraloria"/>
    <s v="Selene"/>
    <n v="859518"/>
    <n v="0"/>
    <n v="0"/>
    <s v="Cheque"/>
    <s v="En Caja Operacional"/>
    <n v="4555135"/>
    <d v="2025-10-09T00:00:00"/>
    <n v="214879"/>
    <n v="180570.58823529413"/>
  </r>
  <r>
    <s v="Geronimo Mendez"/>
    <n v="220233"/>
    <d v="2025-12-03T17:52:18"/>
    <s v="79976600-0"/>
    <s v="SOC. AGRICOLA Y TRANSPORTES ALFALFARES"/>
    <x v="0"/>
    <s v="Contraloria"/>
    <s v="Selene"/>
    <n v="859518"/>
    <n v="0"/>
    <n v="0"/>
    <s v="Cheque"/>
    <s v="En Caja Operacional"/>
    <n v="4555136"/>
    <d v="2025-11-09T00:00:00"/>
    <n v="214879"/>
    <n v="180570.58823529413"/>
  </r>
  <r>
    <s v="Geronimo Mendez"/>
    <n v="220233"/>
    <d v="2025-12-03T17:52:18"/>
    <s v="79976600-0"/>
    <s v="SOC. AGRICOLA Y TRANSPORTES ALFALFARES"/>
    <x v="0"/>
    <s v="Contraloria"/>
    <s v="Selene"/>
    <n v="859518"/>
    <n v="0"/>
    <n v="0"/>
    <s v="Cheque"/>
    <s v="En Caja Operacional"/>
    <n v="4555138"/>
    <d v="2025-12-09T00:00:00"/>
    <n v="214880"/>
    <n v="180571.42857142858"/>
  </r>
  <r>
    <s v="Geronimo Mendez"/>
    <n v="220233"/>
    <d v="2025-12-03T17:52:18"/>
    <s v="79976600-0"/>
    <s v="SOC. AGRICOLA Y TRANSPORTES ALFALFARES"/>
    <x v="0"/>
    <s v="Contraloria"/>
    <s v="Selene"/>
    <n v="859518"/>
    <n v="0"/>
    <n v="0"/>
    <s v="Cheque"/>
    <s v="En Caja Operacional"/>
    <n v="3974431"/>
    <d v="2026-01-09T00:00:00"/>
    <n v="214880"/>
    <n v="180571.42857142858"/>
  </r>
  <r>
    <s v="Geronimo Mendez"/>
    <n v="220232"/>
    <d v="2025-12-03T17:48:31"/>
    <s v="76668592-7"/>
    <s v="REPUESTOS AUT. PEDRO REYNUABA E.I.R.L."/>
    <x v="4"/>
    <s v="Contraloria"/>
    <s v="Selene"/>
    <n v="198617"/>
    <n v="0"/>
    <n v="0"/>
    <s v="Transferencia"/>
    <s v="En Caja Operacional"/>
    <n v="275038"/>
    <m/>
    <n v="198617"/>
    <n v="166905.04201680672"/>
  </r>
  <r>
    <s v="Geronimo Mendez"/>
    <n v="220231"/>
    <d v="2025-12-03T17:37:37"/>
    <s v="76673478-2"/>
    <s v="REPUESTOS GARAGE 400 LTDA"/>
    <x v="4"/>
    <s v="Contraloria"/>
    <s v="Selene"/>
    <n v="60007"/>
    <n v="0"/>
    <n v="0"/>
    <s v="Transferencia"/>
    <s v="En Caja Operacional"/>
    <n v="275040"/>
    <m/>
    <n v="60007"/>
    <n v="50426.050420168067"/>
  </r>
  <r>
    <s v="Geronimo Mendez"/>
    <n v="220230"/>
    <d v="2025-12-03T17:35:54"/>
    <s v="18969126-2"/>
    <s v="PAULO ANDRES HONORES"/>
    <x v="4"/>
    <s v="Contraloria"/>
    <s v="Selene"/>
    <n v="780616"/>
    <n v="0"/>
    <n v="0"/>
    <s v="Transferencia"/>
    <s v="En Caja Operacional"/>
    <n v="275041"/>
    <m/>
    <n v="780616"/>
    <n v="655979.83193277312"/>
  </r>
  <r>
    <s v="Geronimo Mendez"/>
    <n v="220229"/>
    <d v="2025-12-03T17:34:48"/>
    <s v="76723567-4"/>
    <s v="MANT. AUTOMOTRICES JOSE LUIS PARADA EMPRESA INDIVIDUAL"/>
    <x v="4"/>
    <s v="Contraloria"/>
    <s v="Selene"/>
    <n v="647102"/>
    <n v="0"/>
    <n v="0"/>
    <s v="Transferencia"/>
    <s v="En Caja Operacional"/>
    <n v="275042"/>
    <m/>
    <n v="647102"/>
    <n v="543783.19327731093"/>
  </r>
  <r>
    <s v="Geronimo Mendez"/>
    <n v="220228"/>
    <d v="2025-12-03T17:33:42"/>
    <s v="76192591-1"/>
    <s v="JUDITH GODOY GARAY COMERCIALIZACION Y ELABORACION DE PRODUCTOS QUIMICOS"/>
    <x v="4"/>
    <s v="Contraloria"/>
    <s v="Selene"/>
    <n v="135089"/>
    <n v="0"/>
    <n v="0"/>
    <s v="Transferencia"/>
    <s v="En Caja Operacional"/>
    <n v="275025"/>
    <m/>
    <n v="135089"/>
    <n v="113520.1680672269"/>
  </r>
  <r>
    <s v="Geronimo Mendez"/>
    <n v="220227"/>
    <d v="2025-12-03T17:32:11"/>
    <s v="8225253-3"/>
    <s v="CARLOS ORTIZ"/>
    <x v="4"/>
    <s v="Contraloria"/>
    <s v="Selene"/>
    <n v="610965"/>
    <n v="0"/>
    <n v="0"/>
    <s v="Transferencia"/>
    <s v="En Caja Operacional"/>
    <n v="275026"/>
    <m/>
    <n v="610965"/>
    <n v="513415.96638655465"/>
  </r>
  <r>
    <s v="Geronimo Mendez"/>
    <n v="220226"/>
    <d v="2025-12-03T17:31:26"/>
    <s v="14099067-1"/>
    <s v="JOSE CARVAJAL"/>
    <x v="4"/>
    <s v="Contraloria"/>
    <s v="Selene"/>
    <n v="374625"/>
    <n v="0"/>
    <n v="0"/>
    <s v="Transferencia"/>
    <s v="En Caja Operacional"/>
    <n v="275027"/>
    <m/>
    <n v="374625"/>
    <n v="314810.92436974793"/>
  </r>
  <r>
    <s v="Geronimo Mendez"/>
    <n v="220225"/>
    <d v="2025-12-03T17:30:35"/>
    <s v="12844515-3"/>
    <s v="YURI BARRAZA"/>
    <x v="4"/>
    <s v="Contraloria"/>
    <s v="Selene"/>
    <n v="133123"/>
    <n v="0"/>
    <n v="0"/>
    <s v="Transferencia"/>
    <s v="En Caja Operacional"/>
    <n v="275028"/>
    <m/>
    <n v="133123"/>
    <n v="111868.06722689077"/>
  </r>
  <r>
    <s v="Geronimo Mendez"/>
    <n v="220224"/>
    <d v="2025-12-03T17:29:14"/>
    <s v="12446426-9"/>
    <s v="MARCO CARVAJAL"/>
    <x v="4"/>
    <s v="Contraloria"/>
    <s v="Selene"/>
    <n v="313708"/>
    <n v="0"/>
    <n v="0"/>
    <s v="Transferencia"/>
    <s v="En Caja Operacional"/>
    <n v="275030"/>
    <m/>
    <n v="313708"/>
    <n v="263620.16806722688"/>
  </r>
  <r>
    <s v="Geronimo Mendez"/>
    <n v="220223"/>
    <d v="2025-12-03T17:27:48"/>
    <s v="78180972-1"/>
    <s v="TF REPUESTOS SPA"/>
    <x v="4"/>
    <s v="Contraloria"/>
    <s v="Selene"/>
    <n v="1433902"/>
    <n v="0"/>
    <n v="0"/>
    <s v="Transferencia"/>
    <s v="En Caja Operacional"/>
    <n v="275033"/>
    <m/>
    <n v="1433902"/>
    <n v="1204959.6638655462"/>
  </r>
  <r>
    <s v="Geronimo Mendez"/>
    <n v="220222"/>
    <d v="2025-12-03T17:26:23"/>
    <s v="9132885-2"/>
    <s v="NELLY PEREZ"/>
    <x v="4"/>
    <s v="Contraloria"/>
    <s v="Selene"/>
    <n v="262989"/>
    <n v="0"/>
    <n v="0"/>
    <s v="Transferencia"/>
    <s v="En Caja Operacional"/>
    <n v="275037"/>
    <m/>
    <n v="262989"/>
    <n v="220999.15966386555"/>
  </r>
  <r>
    <s v="Geronimo Mendez"/>
    <n v="220221"/>
    <d v="2025-12-03T17:25:35"/>
    <s v="77046482-K"/>
    <s v="SERVICIOS MARIO TAGLE AGUIRRE EIRL"/>
    <x v="4"/>
    <s v="Contraloria"/>
    <s v="Selene"/>
    <n v="100856"/>
    <n v="0"/>
    <n v="0"/>
    <s v="Transferencia"/>
    <s v="En Caja Operacional"/>
    <n v="275045"/>
    <m/>
    <n v="100856"/>
    <n v="84752.941176470587"/>
  </r>
  <r>
    <s v="Geronimo Mendez"/>
    <n v="220220"/>
    <d v="2025-12-03T17:24:26"/>
    <s v="10654184-1"/>
    <s v="MARCOS ARAYA"/>
    <x v="4"/>
    <s v="Contraloria"/>
    <s v="Selene"/>
    <n v="180642"/>
    <n v="0"/>
    <n v="0"/>
    <s v="Transferencia"/>
    <s v="En Caja Operacional"/>
    <n v="275046"/>
    <m/>
    <n v="180642"/>
    <n v="151800"/>
  </r>
  <r>
    <s v="Geronimo Mendez"/>
    <n v="220219"/>
    <d v="2025-12-03T17:12:33"/>
    <s v="77213499-1"/>
    <s v="TRANSPORTES PONCE DE LEON SPA"/>
    <x v="8"/>
    <s v="Ventas Local"/>
    <s v="Maiko"/>
    <n v="422245"/>
    <n v="0"/>
    <n v="0"/>
    <s v="Cheque"/>
    <s v="En Caja Operacional"/>
    <n v="189"/>
    <d v="2026-01-03T00:00:00"/>
    <n v="210000"/>
    <n v="176470.58823529413"/>
  </r>
  <r>
    <s v="Geronimo Mendez"/>
    <n v="220219"/>
    <d v="2025-12-03T17:12:33"/>
    <s v="77213499-1"/>
    <s v="TRANSPORTES PONCE DE LEON SPA"/>
    <x v="8"/>
    <s v="Ventas Local"/>
    <s v="Maiko"/>
    <n v="422245"/>
    <n v="0"/>
    <n v="0"/>
    <s v="Cheque"/>
    <s v="En Caja Operacional"/>
    <n v="190"/>
    <d v="2026-02-03T00:00:00"/>
    <n v="212245"/>
    <n v="178357.14285714287"/>
  </r>
  <r>
    <s v="Linares"/>
    <n v="220218"/>
    <d v="2025-12-03T17:03:44"/>
    <s v="66666666-6"/>
    <s v="Cliente LINARES Generico"/>
    <x v="1"/>
    <s v="Linares"/>
    <s v="Eduardo"/>
    <n v="76800"/>
    <n v="0"/>
    <n v="101"/>
    <s v="D√©bito"/>
    <s v="En Caja Operacional"/>
    <n v="25398"/>
    <m/>
    <n v="57500"/>
    <n v="48319.327731092439"/>
  </r>
  <r>
    <s v="Linares"/>
    <n v="220218"/>
    <d v="2025-12-03T17:03:44"/>
    <s v="66666666-6"/>
    <s v="Cliente LINARES Generico"/>
    <x v="1"/>
    <s v="Linares"/>
    <s v="Eduardo"/>
    <n v="76800"/>
    <n v="0"/>
    <n v="101"/>
    <s v="D√©bito"/>
    <s v="En Caja Operacional"/>
    <n v="40949"/>
    <m/>
    <n v="19300"/>
    <n v="16218.487394957983"/>
  </r>
  <r>
    <s v="Linares"/>
    <n v="220217"/>
    <d v="2025-12-03T16:51:55"/>
    <s v="13475693-4"/>
    <s v="FELIPE ALEJANDRO BRAVO"/>
    <x v="1"/>
    <s v="Linares"/>
    <s v="Eduardo"/>
    <n v="18447"/>
    <n v="0"/>
    <n v="0"/>
    <s v="Efectivo"/>
    <s v="En Caja Operacional"/>
    <m/>
    <m/>
    <n v="18447"/>
    <n v="15501.680672268909"/>
  </r>
  <r>
    <s v="Geronimo Mendez"/>
    <n v="220216"/>
    <d v="2025-12-03T16:46:53"/>
    <s v="5092498-K"/>
    <s v="DIONISIO JOSE UBALDO   ROJAS"/>
    <x v="8"/>
    <s v="Ventas Local"/>
    <s v="Maiko"/>
    <n v="523863"/>
    <n v="0"/>
    <n v="0"/>
    <s v="D√©bito"/>
    <s v="En Caja Operacional"/>
    <n v="617476"/>
    <m/>
    <n v="523863"/>
    <n v="440221.00840336137"/>
  </r>
  <r>
    <s v="Ovalle"/>
    <n v="220215"/>
    <d v="2025-12-03T16:34:13"/>
    <s v="66666666-6"/>
    <s v="Cliente OVALLE Generico"/>
    <x v="6"/>
    <s v="Ovalle"/>
    <s v="Emilio"/>
    <n v="39867"/>
    <n v="0"/>
    <n v="0"/>
    <s v="D√©bito"/>
    <s v="En Caja Operacional"/>
    <n v="186590"/>
    <m/>
    <n v="39867"/>
    <n v="33501.680672268907"/>
  </r>
  <r>
    <s v="Linares"/>
    <n v="220214"/>
    <d v="2025-12-03T16:26:22"/>
    <s v="76254458-K"/>
    <s v="GONZALO ANTONIO GUINEZ ROJAS INGENIERIA E I R L"/>
    <x v="1"/>
    <s v="Linares"/>
    <s v="Eduardo"/>
    <n v="174533"/>
    <n v="0"/>
    <n v="0"/>
    <s v="D√©bito"/>
    <s v="En Caja Operacional"/>
    <n v="416710"/>
    <m/>
    <n v="174533"/>
    <n v="146666.38655462186"/>
  </r>
  <r>
    <s v="Ovalle"/>
    <n v="220213"/>
    <d v="2025-12-03T15:18:26"/>
    <s v="9825548-6"/>
    <s v="James Molina"/>
    <x v="6"/>
    <s v="Ovalle"/>
    <s v="Emilio"/>
    <n v="45371"/>
    <n v="0"/>
    <n v="0"/>
    <s v="D√©bito"/>
    <s v="En Caja Operacional"/>
    <n v="758140"/>
    <m/>
    <n v="45371"/>
    <n v="38126.89075630252"/>
  </r>
  <r>
    <s v="Antillanca"/>
    <n v="220212"/>
    <d v="2025-12-03T14:58:27"/>
    <s v="77273337-2"/>
    <s v="KERAMIK SERVICE SPA"/>
    <x v="3"/>
    <s v="Antillanca"/>
    <s v="Nataly"/>
    <n v="205264"/>
    <n v="0"/>
    <n v="0"/>
    <s v="Transferencia"/>
    <s v="En Caja Operacional"/>
    <n v="61"/>
    <m/>
    <n v="205264"/>
    <n v="172490.75630252101"/>
  </r>
  <r>
    <s v="Geronimo Mendez"/>
    <n v="220211"/>
    <d v="2025-12-03T14:52:44"/>
    <s v="76686400-7"/>
    <s v="EXP.IMP. Y COMER. FARIAS Y BELTRAN LTDA"/>
    <x v="16"/>
    <s v="Contraloria"/>
    <s v="Milton"/>
    <n v="3000000"/>
    <n v="0"/>
    <n v="0"/>
    <s v="Transferencia"/>
    <s v="En Caja Operacional"/>
    <n v="10112025"/>
    <m/>
    <n v="3000000"/>
    <n v="2521008.4033613447"/>
  </r>
  <r>
    <s v="Ovalle"/>
    <n v="220210"/>
    <d v="2025-12-03T14:36:19"/>
    <s v="66666666-6"/>
    <s v="Cliente OVALLE Generico"/>
    <x v="6"/>
    <s v="Ovalle"/>
    <s v="Emilio"/>
    <n v="11235"/>
    <n v="0"/>
    <n v="0"/>
    <s v="Efectivo"/>
    <s v="En Caja Operacional"/>
    <m/>
    <m/>
    <n v="11235"/>
    <n v="9441.176470588236"/>
  </r>
  <r>
    <s v="Geronimo Mendez"/>
    <n v="220209"/>
    <d v="2025-12-03T14:00:38"/>
    <s v="78002301-5"/>
    <s v="GOLMAG SPA"/>
    <x v="14"/>
    <s v="Ventas Local"/>
    <s v="SoporteVenta"/>
    <n v="78785"/>
    <n v="0"/>
    <n v="0"/>
    <s v="Transferencia"/>
    <s v="En Caja Operacional"/>
    <n v="275412"/>
    <m/>
    <n v="78785"/>
    <n v="66205.882352941175"/>
  </r>
  <r>
    <s v="Geronimo Mendez"/>
    <n v="220208"/>
    <d v="2025-12-03T13:26:38"/>
    <s v="77903516-6"/>
    <s v="VERKO TRANSPORTES SPA"/>
    <x v="8"/>
    <s v="Ventas Local"/>
    <s v="Maiko"/>
    <n v="62476"/>
    <n v="0"/>
    <n v="0"/>
    <s v="Cr√©dito"/>
    <s v="En Caja Operacional"/>
    <n v="15338"/>
    <m/>
    <n v="62476"/>
    <n v="52500.840336134454"/>
  </r>
  <r>
    <s v="Linares"/>
    <n v="220207"/>
    <d v="2025-12-03T13:08:29"/>
    <s v="66666666-6"/>
    <s v="Cliente LINARES Generico"/>
    <x v="1"/>
    <s v="Linares"/>
    <s v="Eduardo"/>
    <n v="25715"/>
    <n v="0"/>
    <n v="0"/>
    <s v="D√©bito"/>
    <s v="En Caja Operacional"/>
    <n v="607618"/>
    <m/>
    <n v="25715"/>
    <n v="21609.243697478993"/>
  </r>
  <r>
    <s v="Geronimo Mendez"/>
    <n v="220206"/>
    <d v="2025-12-03T12:57:14"/>
    <s v="8623869-1"/>
    <s v="HUMBERTO ARAYA"/>
    <x v="8"/>
    <s v="Ventas Local"/>
    <s v="SoporteVenta"/>
    <n v="178683"/>
    <n v="0"/>
    <n v="0"/>
    <s v="Cheque"/>
    <s v="En Caja Operacional"/>
    <n v="3212"/>
    <d v="2025-12-15T00:00:00"/>
    <n v="178683"/>
    <n v="150153.78151260506"/>
  </r>
  <r>
    <s v="Ovalle"/>
    <n v="220205"/>
    <d v="2025-12-03T12:42:30"/>
    <s v="77076072-0"/>
    <s v="VERTAL SPA"/>
    <x v="6"/>
    <s v="Ovalle"/>
    <s v="Emilio"/>
    <n v="6671"/>
    <n v="0"/>
    <n v="0"/>
    <s v="Efectivo"/>
    <s v="En Caja Operacional"/>
    <m/>
    <m/>
    <n v="6671"/>
    <n v="5605.8823529411766"/>
  </r>
  <r>
    <s v="Ovalle"/>
    <n v="220204"/>
    <d v="2025-12-03T12:26:17"/>
    <s v="11939093-1"/>
    <s v="JOSE LUIS COFRE"/>
    <x v="6"/>
    <s v="Ovalle"/>
    <s v="Emilio"/>
    <n v="33251"/>
    <n v="0"/>
    <n v="0"/>
    <s v="Efectivo"/>
    <s v="En Caja Operacional"/>
    <m/>
    <m/>
    <n v="33251"/>
    <n v="27942.016806722691"/>
  </r>
  <r>
    <s v="Linares"/>
    <n v="220203"/>
    <d v="2025-12-03T12:11:08"/>
    <s v="66666666-6"/>
    <s v="Cliente LINARES Generico"/>
    <x v="1"/>
    <s v="Linares"/>
    <s v="Eduardo"/>
    <n v="37505"/>
    <n v="0"/>
    <n v="0"/>
    <s v="D√©bito"/>
    <s v="En Caja Operacional"/>
    <n v="32926"/>
    <m/>
    <n v="37505"/>
    <n v="31516.806722689078"/>
  </r>
  <r>
    <s v="Rojas Magallanes"/>
    <n v="220202"/>
    <d v="2025-12-03T12:05:05"/>
    <s v="66666666-6"/>
    <s v="Cliente ROJAS MAGALLANES Generico"/>
    <x v="5"/>
    <s v="Rojas Magallanes"/>
    <s v="Marisol"/>
    <n v="40932"/>
    <n v="0"/>
    <n v="0"/>
    <s v="D√©bito"/>
    <s v="En Caja Operacional"/>
    <n v="445743"/>
    <m/>
    <n v="40932"/>
    <n v="34396.638655462186"/>
  </r>
  <r>
    <s v="Rojas Magallanes"/>
    <n v="220201"/>
    <d v="2025-12-03T11:56:17"/>
    <s v="66666666-6"/>
    <s v="Cliente ROJAS MAGALLANES Generico"/>
    <x v="5"/>
    <s v="Rojas Magallanes"/>
    <s v="Marisol"/>
    <n v="141188"/>
    <n v="0"/>
    <n v="0"/>
    <s v="Cr√©dito"/>
    <s v="En Caja Operacional"/>
    <n v="666773"/>
    <m/>
    <n v="141188"/>
    <n v="118645.37815126051"/>
  </r>
  <r>
    <s v="Linares"/>
    <n v="220200"/>
    <d v="2025-12-03T11:46:41"/>
    <s v="76787907-5"/>
    <s v="DIMATEL SPA"/>
    <x v="1"/>
    <s v="Linares"/>
    <s v="Selene"/>
    <n v="165708"/>
    <n v="0"/>
    <n v="0"/>
    <s v="Transferencia"/>
    <s v="En Caja Operacional"/>
    <n v="20"/>
    <m/>
    <n v="165708"/>
    <n v="139250.42016806724"/>
  </r>
  <r>
    <s v="Linares"/>
    <n v="220199"/>
    <d v="2025-12-03T10:57:34"/>
    <s v="66666666-6"/>
    <s v="Cliente LINARES Generico"/>
    <x v="1"/>
    <s v="Linares"/>
    <s v="Eduardo"/>
    <n v="31475"/>
    <n v="0"/>
    <n v="0"/>
    <s v="D√©bito"/>
    <s v="En Caja Operacional"/>
    <n v="842759"/>
    <m/>
    <n v="31475"/>
    <n v="26449.579831932773"/>
  </r>
  <r>
    <s v="Linares"/>
    <n v="220198"/>
    <d v="2025-12-03T10:53:40"/>
    <s v="66666666-6"/>
    <s v="Cliente LINARES Generico"/>
    <x v="1"/>
    <s v="Linares"/>
    <s v="Eduardo"/>
    <n v="33289"/>
    <n v="0"/>
    <n v="0"/>
    <s v="D√©bito"/>
    <s v="En Caja Operacional"/>
    <n v="822900"/>
    <m/>
    <n v="33289"/>
    <n v="27973.949579831933"/>
  </r>
  <r>
    <s v="Geronimo Mendez"/>
    <n v="220197"/>
    <d v="2025-12-03T10:47:26"/>
    <s v="6276438-4"/>
    <s v="IVAR TORRES"/>
    <x v="8"/>
    <s v="Ventas Local"/>
    <s v="Maiko"/>
    <n v="291498"/>
    <n v="0"/>
    <n v="0"/>
    <s v="Cr√©dito"/>
    <s v="En Caja Operacional"/>
    <n v="464758"/>
    <m/>
    <n v="291498"/>
    <n v="244956.30252100842"/>
  </r>
  <r>
    <s v="Linares"/>
    <n v="220196"/>
    <d v="2025-12-03T10:19:49"/>
    <s v="9262987-2"/>
    <s v="EDUARDO ENRIQUE PONCE"/>
    <x v="1"/>
    <s v="Linares"/>
    <s v="Eduardo"/>
    <n v="24862"/>
    <n v="0"/>
    <n v="0"/>
    <s v="D√©bito"/>
    <s v="En Caja Operacional"/>
    <n v="731771"/>
    <m/>
    <n v="24862"/>
    <n v="20892.436974789918"/>
  </r>
  <r>
    <s v="Linares"/>
    <n v="220195"/>
    <d v="2025-12-03T09:56:37"/>
    <s v="21023677-5"/>
    <s v="DIEGO NICOLAS ANACONA"/>
    <x v="1"/>
    <s v="Linares"/>
    <s v="Eduardo"/>
    <n v="40196"/>
    <n v="0"/>
    <n v="0"/>
    <s v="Efectivo"/>
    <s v="En Caja Operacional"/>
    <m/>
    <m/>
    <n v="40196"/>
    <n v="33778.151260504201"/>
  </r>
  <r>
    <s v="Ovalle"/>
    <n v="220194"/>
    <d v="2025-12-03T09:55:53"/>
    <s v="12569531-0"/>
    <s v="EMILIO SANTOS"/>
    <x v="6"/>
    <s v="Ovalle"/>
    <s v="Emilio"/>
    <n v="13059"/>
    <n v="0"/>
    <n v="0"/>
    <s v="Efectivo"/>
    <s v="En Caja Operacional"/>
    <m/>
    <m/>
    <n v="13059"/>
    <n v="10973.949579831933"/>
  </r>
  <r>
    <s v="Geronimo Mendez"/>
    <n v="220193"/>
    <d v="2025-12-03T09:46:26"/>
    <s v="77154806-7"/>
    <s v="RC REPUESTOS LA SERENA SPA"/>
    <x v="4"/>
    <s v="Cobranzas"/>
    <s v="Maria"/>
    <n v="310067"/>
    <n v="0"/>
    <n v="0"/>
    <s v="Cheque"/>
    <s v="En Caja Operacional"/>
    <n v="2089"/>
    <d v="2025-12-03T00:00:00"/>
    <n v="310067"/>
    <n v="260560.50420168068"/>
  </r>
  <r>
    <s v="Geronimo Mendez"/>
    <n v="220192"/>
    <d v="2025-12-03T09:44:29"/>
    <s v="10654184-1"/>
    <s v="MARCOS ARAYA"/>
    <x v="4"/>
    <s v="Cobranzas"/>
    <s v="Maria"/>
    <n v="283349"/>
    <n v="0"/>
    <n v="0"/>
    <s v="Cheque"/>
    <s v="En Caja Operacional"/>
    <n v="7800204"/>
    <d v="2025-11-15T00:00:00"/>
    <n v="283349"/>
    <n v="238108.40336134454"/>
  </r>
  <r>
    <s v="Antillanca"/>
    <n v="220191"/>
    <d v="2025-12-03T09:38:27"/>
    <s v="10717420-6"/>
    <s v="FRANCO DEL CARMEN ESPINOZA"/>
    <x v="9"/>
    <s v="Antillanca"/>
    <s v="Nataly"/>
    <n v="351788"/>
    <n v="0"/>
    <n v="0"/>
    <s v="Efectivo"/>
    <s v="En Caja Operacional"/>
    <m/>
    <m/>
    <n v="351788"/>
    <n v="295620.16806722688"/>
  </r>
  <r>
    <s v="Geronimo Mendez"/>
    <n v="220190"/>
    <d v="2025-12-03T09:37:11"/>
    <s v="16187674-7"/>
    <s v="GREGORIO ERNESTO  TELLO"/>
    <x v="8"/>
    <s v="Ventas Local"/>
    <s v="Maiko"/>
    <n v="484668"/>
    <n v="0"/>
    <n v="0"/>
    <s v="Cr√©dito"/>
    <s v="En Caja Operacional"/>
    <n v="741706"/>
    <m/>
    <n v="484668"/>
    <n v="407284.03361344541"/>
  </r>
  <r>
    <s v="Ovalle"/>
    <n v="220189"/>
    <d v="2025-12-03T09:33:44"/>
    <s v="12569531-0"/>
    <s v="EMILIO SANTOS"/>
    <x v="6"/>
    <s v="Ovalle"/>
    <s v="Emilio"/>
    <n v="60004"/>
    <n v="0"/>
    <n v="0"/>
    <s v="Efectivo"/>
    <s v="En Caja Operacional"/>
    <m/>
    <m/>
    <n v="60004"/>
    <n v="50423.529411764706"/>
  </r>
  <r>
    <s v="Antillanca"/>
    <n v="220188"/>
    <d v="2025-12-03T09:30:49"/>
    <s v="87666100-4"/>
    <s v="TRANSPORTES INTERANDINOS S.A."/>
    <x v="16"/>
    <s v="Antillanca"/>
    <s v="Nataly"/>
    <n v="2567663"/>
    <n v="0"/>
    <n v="0"/>
    <s v="Transferencia"/>
    <s v="En Caja Operacional"/>
    <n v="1"/>
    <m/>
    <n v="2567663"/>
    <n v="2157700"/>
  </r>
  <r>
    <s v="Geronimo Mendez"/>
    <n v="220187"/>
    <d v="2025-12-03T09:28:12"/>
    <s v="76278814-4"/>
    <s v="TRANSPORTES FACTOR DISTRIBUCION S A"/>
    <x v="9"/>
    <s v="Ventas Local"/>
    <s v="SoporteVenta"/>
    <n v="358094"/>
    <n v="0"/>
    <n v="0"/>
    <s v="Transferencia"/>
    <s v="En Caja Operacional"/>
    <n v="57"/>
    <m/>
    <n v="358094"/>
    <n v="300919.32773109246"/>
  </r>
  <r>
    <s v="Antillanca"/>
    <n v="220186"/>
    <d v="2025-12-03T09:19:57"/>
    <s v="76336829-7"/>
    <s v="TRANSPORTES VEGA MORELLI LIMITADA"/>
    <x v="13"/>
    <s v="Antillanca"/>
    <s v="Nataly"/>
    <n v="1432379"/>
    <n v="0"/>
    <n v="0"/>
    <s v="Transferencia"/>
    <s v="En Caja Operacional"/>
    <n v="12"/>
    <m/>
    <n v="1432379"/>
    <n v="1203679.8319327731"/>
  </r>
  <r>
    <s v="Antillanca"/>
    <n v="220185"/>
    <d v="2025-12-03T09:14:47"/>
    <s v="76310356-0"/>
    <s v="CONSTRUCTORA BRASAN LIMITADA"/>
    <x v="9"/>
    <s v="Antillanca"/>
    <s v="Nataly"/>
    <n v="790917"/>
    <n v="0"/>
    <n v="0"/>
    <s v="Transferencia"/>
    <s v="En Caja Operacional"/>
    <n v="48"/>
    <m/>
    <n v="790917"/>
    <n v="664636.13445378153"/>
  </r>
  <r>
    <s v="Linares"/>
    <n v="220184"/>
    <d v="2025-12-03T09:12:52"/>
    <s v="66666666-6"/>
    <s v="Cliente LINARES Generico"/>
    <x v="1"/>
    <s v="Linares"/>
    <s v="Eduardo"/>
    <n v="40590"/>
    <n v="0"/>
    <n v="0"/>
    <s v="Efectivo"/>
    <s v="En Caja Operacional"/>
    <m/>
    <m/>
    <n v="40590"/>
    <n v="34109.243697478996"/>
  </r>
  <r>
    <s v="Antillanca"/>
    <n v="220183"/>
    <d v="2025-12-03T09:11:05"/>
    <s v="24809434-6"/>
    <s v="JUAN  CHOMBA"/>
    <x v="12"/>
    <s v="Antillanca"/>
    <s v="Nataly"/>
    <n v="1377206"/>
    <n v="0"/>
    <n v="0"/>
    <s v="Transferencia"/>
    <s v="En Caja Operacional"/>
    <n v="11"/>
    <m/>
    <n v="1377206"/>
    <n v="1157315.9663865548"/>
  </r>
  <r>
    <s v="Linares"/>
    <n v="220182"/>
    <d v="2025-12-02T18:03:32"/>
    <s v="66666666-6"/>
    <s v="Cliente LINARES Generico"/>
    <x v="1"/>
    <s v="Linares"/>
    <s v="Eduardo"/>
    <n v="26000"/>
    <n v="0"/>
    <n v="285"/>
    <s v="D√©bito"/>
    <s v="En Caja Operacional"/>
    <n v="4777"/>
    <m/>
    <n v="26000"/>
    <n v="21848.73949579832"/>
  </r>
  <r>
    <s v="Linares"/>
    <n v="220181"/>
    <d v="2025-12-02T17:52:30"/>
    <s v="66666666-6"/>
    <s v="Cliente LINARES Generico"/>
    <x v="1"/>
    <s v="Linares"/>
    <s v="Eduardo"/>
    <n v="76095"/>
    <n v="0"/>
    <n v="0"/>
    <s v="Efectivo"/>
    <s v="En Caja Operacional"/>
    <m/>
    <m/>
    <n v="76095"/>
    <n v="63945.378151260506"/>
  </r>
  <r>
    <s v="Geronimo Mendez"/>
    <n v="220180"/>
    <d v="2025-12-02T17:48:55"/>
    <s v="12425995-9"/>
    <s v="LUIS HECTOR DIAZ"/>
    <x v="8"/>
    <s v="Ventas Local"/>
    <s v="SoporteVenta"/>
    <n v="407305"/>
    <n v="0"/>
    <n v="0"/>
    <s v="Transferencia"/>
    <s v="En Caja Operacional"/>
    <n v="56"/>
    <m/>
    <n v="407305"/>
    <n v="342273.10924369749"/>
  </r>
  <r>
    <s v="Geronimo Mendez"/>
    <n v="220179"/>
    <d v="2025-12-02T17:28:01"/>
    <s v="16443372-2"/>
    <s v="HECTOR JAVIER  ROJAS"/>
    <x v="8"/>
    <s v="Ventas Local"/>
    <s v="SoporteVenta"/>
    <n v="548885"/>
    <n v="0"/>
    <n v="0"/>
    <s v="D√©bito"/>
    <s v="En Caja Operacional"/>
    <n v="326257"/>
    <m/>
    <n v="250000"/>
    <n v="210084.03361344538"/>
  </r>
  <r>
    <s v="Geronimo Mendez"/>
    <n v="220179"/>
    <d v="2025-12-02T17:28:01"/>
    <s v="16443372-2"/>
    <s v="HECTOR JAVIER  ROJAS"/>
    <x v="8"/>
    <s v="Ventas Local"/>
    <s v="SoporteVenta"/>
    <n v="548885"/>
    <n v="0"/>
    <n v="0"/>
    <s v="Cheque"/>
    <s v="En Caja Operacional"/>
    <n v="4650817"/>
    <d v="2026-01-02T00:00:00"/>
    <n v="298885"/>
    <n v="251163.8655462185"/>
  </r>
  <r>
    <s v="Linares"/>
    <n v="220178"/>
    <d v="2025-12-02T17:24:19"/>
    <s v="9262987-2"/>
    <s v="EDUARDO ENRIQUE PONCE"/>
    <x v="1"/>
    <s v="Linares"/>
    <s v="Eduardo"/>
    <n v="41144"/>
    <n v="0"/>
    <n v="0"/>
    <s v="D√©bito"/>
    <s v="En Caja Operacional"/>
    <n v="257932"/>
    <m/>
    <n v="41144"/>
    <n v="34574.789915966387"/>
  </r>
  <r>
    <s v="Geronimo Mendez"/>
    <n v="220177"/>
    <d v="2025-12-02T17:20:32"/>
    <s v="78218072-K"/>
    <s v="COMERCIALIZADORA DE REPTOS AUT. FRANCISCO FLORES EIRL"/>
    <x v="4"/>
    <s v="Ventas Local"/>
    <s v="SoporteVenta"/>
    <n v="127516"/>
    <n v="0"/>
    <n v="0"/>
    <s v="Efectivo"/>
    <s v="En Caja Operacional"/>
    <m/>
    <m/>
    <n v="127516"/>
    <n v="107156.3025210084"/>
  </r>
  <r>
    <s v="Linares"/>
    <n v="220176"/>
    <d v="2025-12-02T17:19:29"/>
    <s v="66666666-6"/>
    <s v="Cliente LINARES Generico"/>
    <x v="1"/>
    <s v="Linares"/>
    <s v="Eduardo"/>
    <n v="78786"/>
    <n v="0"/>
    <n v="0"/>
    <s v="D√©bito"/>
    <s v="En Caja Operacional"/>
    <n v="816849"/>
    <m/>
    <n v="78786"/>
    <n v="66206.722689075628"/>
  </r>
  <r>
    <s v="Ovalle"/>
    <n v="220175"/>
    <d v="2025-12-02T17:00:38"/>
    <s v="12569531-0"/>
    <s v="EMILIO SANTOS"/>
    <x v="6"/>
    <s v="Ovalle"/>
    <s v="Emilio"/>
    <n v="50154"/>
    <n v="0"/>
    <n v="0"/>
    <s v="Efectivo"/>
    <s v="En Caja Operacional"/>
    <m/>
    <m/>
    <n v="25154"/>
    <n v="21137.81512605042"/>
  </r>
  <r>
    <s v="Ovalle"/>
    <n v="220175"/>
    <d v="2025-12-02T17:00:38"/>
    <s v="12569531-0"/>
    <s v="EMILIO SANTOS"/>
    <x v="6"/>
    <s v="Ovalle"/>
    <s v="Emilio"/>
    <n v="50154"/>
    <n v="0"/>
    <n v="0"/>
    <s v="D√©bito"/>
    <s v="En Caja Operacional"/>
    <n v="953708"/>
    <m/>
    <n v="25000"/>
    <n v="21008.403361344539"/>
  </r>
  <r>
    <s v="Geronimo Mendez"/>
    <n v="220174"/>
    <d v="2025-12-02T16:49:10"/>
    <s v="12569531-0"/>
    <s v="EMILIO SANTOS"/>
    <x v="6"/>
    <s v="Ajustes"/>
    <s v="Angelo"/>
    <n v="99753"/>
    <n v="0"/>
    <n v="0"/>
    <s v="Efectivo"/>
    <s v="En Caja Operacional"/>
    <m/>
    <m/>
    <n v="99753"/>
    <n v="83826.050420168074"/>
  </r>
  <r>
    <s v="Geronimo Mendez"/>
    <n v="220173"/>
    <d v="2025-12-02T16:41:02"/>
    <s v="11537174-6"/>
    <s v="JUAN CARTES"/>
    <x v="4"/>
    <s v="Cobranzas"/>
    <s v="Maria"/>
    <n v="250000"/>
    <n v="0"/>
    <n v="0"/>
    <s v="Transferencia"/>
    <s v="En Caja Operacional"/>
    <n v="272590"/>
    <m/>
    <n v="250000"/>
    <n v="210084.03361344538"/>
  </r>
  <r>
    <s v="Geronimo Mendez"/>
    <n v="220172"/>
    <d v="2025-12-02T16:29:07"/>
    <s v="77982260-5"/>
    <s v="SOC. ALTAMIRANO BUONO CORE HNOS LTDA"/>
    <x v="4"/>
    <s v="Contraloria"/>
    <s v="Selene"/>
    <n v="608236"/>
    <n v="0"/>
    <n v="0"/>
    <s v="Cheque"/>
    <s v="En Caja Operacional"/>
    <n v="2259808"/>
    <d v="2026-01-12T00:00:00"/>
    <n v="608236"/>
    <n v="511122.68907563027"/>
  </r>
  <r>
    <s v="Geronimo Mendez"/>
    <n v="220171"/>
    <d v="2025-12-02T16:25:58"/>
    <s v="79716590-5"/>
    <s v="COMERCIAL REQUENA HNOS. LTDA."/>
    <x v="4"/>
    <s v="Contraloria"/>
    <s v="Selene"/>
    <n v="225000"/>
    <n v="0"/>
    <n v="0"/>
    <s v="Cheque"/>
    <s v="En Caja Operacional"/>
    <n v="4619315"/>
    <d v="2025-11-28T00:00:00"/>
    <n v="112500"/>
    <n v="94537.815126050424"/>
  </r>
  <r>
    <s v="Geronimo Mendez"/>
    <n v="220171"/>
    <d v="2025-12-02T16:25:58"/>
    <s v="79716590-5"/>
    <s v="COMERCIAL REQUENA HNOS. LTDA."/>
    <x v="4"/>
    <s v="Contraloria"/>
    <s v="Selene"/>
    <n v="225000"/>
    <n v="0"/>
    <n v="0"/>
    <s v="Cheque"/>
    <s v="En Caja Operacional"/>
    <n v="4619314"/>
    <d v="2025-12-28T00:00:00"/>
    <n v="112500"/>
    <n v="94537.815126050424"/>
  </r>
  <r>
    <s v="Linares"/>
    <n v="220170"/>
    <d v="2025-12-02T16:24:39"/>
    <s v="77329341-4"/>
    <s v="TRANSPORTES CARLOS CONTRERAS E I R L"/>
    <x v="1"/>
    <s v="Linares"/>
    <s v="Eduardo"/>
    <n v="34094"/>
    <n v="0"/>
    <n v="0"/>
    <s v="D√©bito"/>
    <s v="En Caja Operacional"/>
    <n v="241484"/>
    <m/>
    <n v="34094"/>
    <n v="28650.420168067227"/>
  </r>
  <r>
    <s v="Geronimo Mendez"/>
    <n v="220169"/>
    <d v="2025-12-02T16:23:57"/>
    <s v="12350511-5"/>
    <s v="CESAR GODOY"/>
    <x v="4"/>
    <s v="Contraloria"/>
    <s v="Selene"/>
    <n v="1724450"/>
    <n v="0"/>
    <n v="0"/>
    <s v="Cheque"/>
    <s v="En Caja Operacional"/>
    <n v="1236"/>
    <d v="2025-12-31T00:00:00"/>
    <n v="431113"/>
    <n v="362279.83193277312"/>
  </r>
  <r>
    <s v="Geronimo Mendez"/>
    <n v="220169"/>
    <d v="2025-12-02T16:23:57"/>
    <s v="12350511-5"/>
    <s v="CESAR GODOY"/>
    <x v="4"/>
    <s v="Contraloria"/>
    <s v="Selene"/>
    <n v="1724450"/>
    <n v="0"/>
    <n v="0"/>
    <s v="Cheque"/>
    <s v="En Caja Operacional"/>
    <n v="1237"/>
    <d v="2026-01-31T00:00:00"/>
    <n v="431113"/>
    <n v="362279.83193277312"/>
  </r>
  <r>
    <s v="Geronimo Mendez"/>
    <n v="220169"/>
    <d v="2025-12-02T16:23:57"/>
    <s v="12350511-5"/>
    <s v="CESAR GODOY"/>
    <x v="4"/>
    <s v="Contraloria"/>
    <s v="Selene"/>
    <n v="1724450"/>
    <n v="0"/>
    <n v="0"/>
    <s v="Cheque"/>
    <s v="En Caja Operacional"/>
    <n v="1238"/>
    <d v="2026-02-28T00:00:00"/>
    <n v="431113"/>
    <n v="362279.83193277312"/>
  </r>
  <r>
    <s v="Geronimo Mendez"/>
    <n v="220169"/>
    <d v="2025-12-02T16:23:57"/>
    <s v="12350511-5"/>
    <s v="CESAR GODOY"/>
    <x v="4"/>
    <s v="Contraloria"/>
    <s v="Selene"/>
    <n v="1724450"/>
    <n v="0"/>
    <n v="0"/>
    <s v="Cheque"/>
    <s v="En Caja Operacional"/>
    <n v="1239"/>
    <d v="2026-03-31T00:00:00"/>
    <n v="431111"/>
    <n v="362278.15126050421"/>
  </r>
  <r>
    <s v="Ovalle"/>
    <n v="220168"/>
    <d v="2025-12-02T16:18:22"/>
    <s v="77055023-8"/>
    <s v="COMERCIALIZADORA Y TRANSPORTE VALLENORTE SPA"/>
    <x v="6"/>
    <s v="Ovalle"/>
    <s v="Emilio"/>
    <n v="876340"/>
    <n v="0"/>
    <n v="0"/>
    <s v="Cheque"/>
    <s v="En Caja Operacional"/>
    <n v="2317071"/>
    <d v="2026-01-02T00:00:00"/>
    <n v="219085"/>
    <n v="184105.04201680672"/>
  </r>
  <r>
    <s v="Ovalle"/>
    <n v="220168"/>
    <d v="2025-12-02T16:18:22"/>
    <s v="77055023-8"/>
    <s v="COMERCIALIZADORA Y TRANSPORTE VALLENORTE SPA"/>
    <x v="6"/>
    <s v="Ovalle"/>
    <s v="Emilio"/>
    <n v="876340"/>
    <n v="0"/>
    <n v="0"/>
    <s v="Cheque"/>
    <s v="En Caja Operacional"/>
    <n v="2317072"/>
    <d v="2026-02-02T00:00:00"/>
    <n v="219085"/>
    <n v="184105.04201680672"/>
  </r>
  <r>
    <s v="Ovalle"/>
    <n v="220168"/>
    <d v="2025-12-02T16:18:22"/>
    <s v="77055023-8"/>
    <s v="COMERCIALIZADORA Y TRANSPORTE VALLENORTE SPA"/>
    <x v="6"/>
    <s v="Ovalle"/>
    <s v="Emilio"/>
    <n v="876340"/>
    <n v="0"/>
    <n v="0"/>
    <s v="Cheque"/>
    <s v="En Caja Operacional"/>
    <n v="2317073"/>
    <d v="2026-03-02T00:00:00"/>
    <n v="219085"/>
    <n v="184105.04201680672"/>
  </r>
  <r>
    <s v="Ovalle"/>
    <n v="220168"/>
    <d v="2025-12-02T16:18:22"/>
    <s v="77055023-8"/>
    <s v="COMERCIALIZADORA Y TRANSPORTE VALLENORTE SPA"/>
    <x v="6"/>
    <s v="Ovalle"/>
    <s v="Emilio"/>
    <n v="876340"/>
    <n v="0"/>
    <n v="0"/>
    <s v="Cheque"/>
    <s v="En Caja Operacional"/>
    <n v="2317074"/>
    <d v="2026-04-02T00:00:00"/>
    <n v="219085"/>
    <n v="184105.04201680672"/>
  </r>
  <r>
    <s v="Linares"/>
    <n v="220167"/>
    <d v="2025-12-02T16:13:25"/>
    <s v="66666666-6"/>
    <s v="Cliente LINARES Generico"/>
    <x v="1"/>
    <s v="Linares"/>
    <s v="Eduardo"/>
    <n v="48296"/>
    <n v="0"/>
    <n v="0"/>
    <s v="D√©bito"/>
    <s v="En Caja Operacional"/>
    <n v="124145"/>
    <m/>
    <n v="48296"/>
    <n v="40584.873949579836"/>
  </r>
  <r>
    <s v="Geronimo Mendez"/>
    <n v="220166"/>
    <d v="2025-12-02T16:09:47"/>
    <s v="12337029-5"/>
    <s v="LUIS CABRERA"/>
    <x v="8"/>
    <s v="Ventas Local"/>
    <s v="SoporteVenta"/>
    <n v="268716"/>
    <n v="0"/>
    <n v="0"/>
    <s v="Efectivo"/>
    <s v="En Caja Operacional"/>
    <m/>
    <m/>
    <n v="56221"/>
    <n v="47244.537815126052"/>
  </r>
  <r>
    <s v="Geronimo Mendez"/>
    <n v="220166"/>
    <d v="2025-12-02T16:09:47"/>
    <s v="12337029-5"/>
    <s v="LUIS CABRERA"/>
    <x v="8"/>
    <s v="Ventas Local"/>
    <s v="SoporteVenta"/>
    <n v="268716"/>
    <n v="0"/>
    <n v="0"/>
    <s v="D√©bito"/>
    <s v="En Caja Operacional"/>
    <n v="18108"/>
    <m/>
    <n v="12495"/>
    <n v="10500"/>
  </r>
  <r>
    <s v="Geronimo Mendez"/>
    <n v="220166"/>
    <d v="2025-12-02T16:09:47"/>
    <s v="12337029-5"/>
    <s v="LUIS CABRERA"/>
    <x v="8"/>
    <s v="Ventas Local"/>
    <s v="SoporteVenta"/>
    <n v="268716"/>
    <n v="0"/>
    <n v="0"/>
    <s v="Cheque"/>
    <s v="En Caja Operacional"/>
    <n v="6588722"/>
    <d v="2025-12-22T00:00:00"/>
    <n v="100000"/>
    <n v="84033.613445378156"/>
  </r>
  <r>
    <s v="Geronimo Mendez"/>
    <n v="220166"/>
    <d v="2025-12-02T16:09:47"/>
    <s v="12337029-5"/>
    <s v="LUIS CABRERA"/>
    <x v="8"/>
    <s v="Ventas Local"/>
    <s v="SoporteVenta"/>
    <n v="268716"/>
    <n v="0"/>
    <n v="0"/>
    <s v="Cheque"/>
    <s v="En Caja Operacional"/>
    <n v="6588723"/>
    <d v="2025-01-22T00:00:00"/>
    <n v="100000"/>
    <n v="84033.613445378156"/>
  </r>
  <r>
    <s v="Linares"/>
    <n v="220165"/>
    <d v="2025-12-02T16:05:09"/>
    <s v="66666666-6"/>
    <s v="Cliente LINARES Generico"/>
    <x v="1"/>
    <s v="Linares"/>
    <s v="Eduardo"/>
    <n v="53579"/>
    <n v="0"/>
    <n v="0"/>
    <s v="D√©bito"/>
    <s v="En Caja Operacional"/>
    <n v="409364"/>
    <m/>
    <n v="53579"/>
    <n v="45024.36974789916"/>
  </r>
  <r>
    <s v="Linares"/>
    <n v="220164"/>
    <d v="2025-12-02T15:42:12"/>
    <s v="66666666-6"/>
    <s v="Cliente LINARES Generico"/>
    <x v="1"/>
    <s v="Linares"/>
    <s v="Eduardo"/>
    <n v="52150"/>
    <n v="0"/>
    <n v="0"/>
    <s v="D√©bito"/>
    <s v="En Caja Operacional"/>
    <n v="988079"/>
    <m/>
    <n v="52150"/>
    <n v="43823.529411764706"/>
  </r>
  <r>
    <s v="Ovalle"/>
    <n v="220163"/>
    <d v="2025-12-02T15:29:03"/>
    <s v="14313562-4"/>
    <s v="JUAN GUILLERMO TAPIA"/>
    <x v="6"/>
    <s v="Ovalle"/>
    <s v="Emilio"/>
    <n v="422245"/>
    <n v="0"/>
    <n v="0"/>
    <s v="D√©bito"/>
    <s v="En Caja Operacional"/>
    <n v="703210"/>
    <m/>
    <n v="422245"/>
    <n v="354827.731092437"/>
  </r>
  <r>
    <s v="Antillanca"/>
    <n v="220162"/>
    <d v="2025-12-02T14:52:51"/>
    <s v="17428348-6"/>
    <s v="NICOLAS BELTRAN"/>
    <x v="16"/>
    <s v="Antillanca"/>
    <s v="To√±o"/>
    <n v="126112"/>
    <n v="0"/>
    <n v="0"/>
    <s v="D√©bito"/>
    <s v="En Caja Operacional"/>
    <n v="206127"/>
    <m/>
    <n v="126112"/>
    <n v="105976.4705882353"/>
  </r>
  <r>
    <s v="Linares"/>
    <n v="220161"/>
    <d v="2025-12-02T13:49:02"/>
    <s v="66666666-6"/>
    <s v="Cliente LINARES Generico"/>
    <x v="1"/>
    <s v="Linares"/>
    <s v="Eduardo"/>
    <n v="96701"/>
    <n v="0"/>
    <n v="0"/>
    <s v="D√©bito"/>
    <s v="En Caja Operacional"/>
    <n v="817487"/>
    <m/>
    <n v="96701"/>
    <n v="81261.344537815123"/>
  </r>
  <r>
    <s v="Linares"/>
    <n v="220160"/>
    <d v="2025-12-02T13:28:44"/>
    <s v="66666666-6"/>
    <s v="Cliente LINARES Generico"/>
    <x v="1"/>
    <s v="Linares"/>
    <s v="Eduardo"/>
    <n v="45892"/>
    <n v="0"/>
    <n v="0"/>
    <s v="Cr√©dito"/>
    <s v="En Caja Operacional"/>
    <n v="31010"/>
    <m/>
    <n v="45892"/>
    <n v="38564.705882352944"/>
  </r>
  <r>
    <s v="Geronimo Mendez"/>
    <n v="220159"/>
    <d v="2025-12-02T13:18:29"/>
    <s v="77641422-0"/>
    <s v="UNION TRANSPORTES SPA"/>
    <x v="2"/>
    <s v="Ventas Local"/>
    <s v="SoporteVenta"/>
    <n v="248890"/>
    <n v="0"/>
    <n v="0"/>
    <s v="D√©bito"/>
    <s v="En Caja Operacional"/>
    <n v="14383"/>
    <m/>
    <n v="248890"/>
    <n v="209151.26050420169"/>
  </r>
  <r>
    <s v="Linares"/>
    <n v="220158"/>
    <d v="2025-12-02T13:16:55"/>
    <s v="66666666-6"/>
    <s v="Cliente LINARES Generico"/>
    <x v="1"/>
    <s v="Linares"/>
    <s v="Eduardo"/>
    <n v="31350"/>
    <n v="0"/>
    <n v="0"/>
    <s v="D√©bito"/>
    <s v="En Caja Operacional"/>
    <n v="621754"/>
    <m/>
    <n v="31350"/>
    <n v="26344.537815126052"/>
  </r>
  <r>
    <s v="Linares"/>
    <n v="220157"/>
    <d v="2025-12-02T13:00:04"/>
    <s v="77598901-7"/>
    <s v="TRANPORTE TRANSVEL SPA"/>
    <x v="8"/>
    <s v="Linares"/>
    <s v="Eduardo"/>
    <n v="137220"/>
    <n v="0"/>
    <n v="0"/>
    <s v="Efectivo"/>
    <s v="En Caja Operacional"/>
    <m/>
    <m/>
    <n v="137220"/>
    <n v="115310.92436974791"/>
  </r>
  <r>
    <s v="Linares"/>
    <n v="220156"/>
    <d v="2025-12-02T12:46:33"/>
    <s v="76704683-9"/>
    <s v="BTR PERFORACION Y SERVICIOS DE ING SPA"/>
    <x v="1"/>
    <s v="Linares"/>
    <s v="Eduardo"/>
    <n v="88991"/>
    <n v="0"/>
    <n v="0"/>
    <s v="Efectivo"/>
    <s v="En Caja Operacional"/>
    <m/>
    <m/>
    <n v="88991"/>
    <n v="74782.352941176476"/>
  </r>
  <r>
    <s v="Linares"/>
    <n v="220155"/>
    <d v="2025-12-02T12:22:42"/>
    <s v="66666666-6"/>
    <s v="Cliente LINARES Generico"/>
    <x v="1"/>
    <s v="Linares"/>
    <s v="Eduardo"/>
    <n v="30611"/>
    <n v="0"/>
    <n v="0"/>
    <s v="D√©bito"/>
    <s v="En Caja Operacional"/>
    <n v="201458"/>
    <m/>
    <n v="30611"/>
    <n v="25723.529411764706"/>
  </r>
  <r>
    <s v="Geronimo Mendez"/>
    <n v="220154"/>
    <d v="2025-12-02T12:21:20"/>
    <s v="76646932-9"/>
    <s v="RUBEN SILVA GONZALEZ DISTRIBUIDORA DE GAS LICUADO EIRL"/>
    <x v="8"/>
    <s v="Ventas Local"/>
    <s v="SoporteVenta"/>
    <n v="113912"/>
    <n v="0"/>
    <n v="0"/>
    <s v="Transferencia"/>
    <s v="En Caja Operacional"/>
    <n v="49"/>
    <m/>
    <n v="113912"/>
    <n v="95724.369747899167"/>
  </r>
  <r>
    <s v="Linares"/>
    <n v="220153"/>
    <d v="2025-12-02T12:03:26"/>
    <s v="66666666-6"/>
    <s v="Cliente LINARES Generico"/>
    <x v="1"/>
    <s v="Linares"/>
    <s v="Eduardo"/>
    <n v="46474"/>
    <n v="0"/>
    <n v="0"/>
    <s v="D√©bito"/>
    <s v="En Caja Operacional"/>
    <n v="955848"/>
    <m/>
    <n v="46474"/>
    <n v="39053.781512605041"/>
  </r>
  <r>
    <s v="Linares"/>
    <n v="220152"/>
    <d v="2025-12-02T11:59:35"/>
    <s v="66666666-6"/>
    <s v="Cliente LINARES Generico"/>
    <x v="1"/>
    <s v="Linares"/>
    <s v="Eduardo"/>
    <n v="74846"/>
    <n v="0"/>
    <n v="0"/>
    <s v="Cr√©dito"/>
    <s v="En Caja Operacional"/>
    <n v="209038"/>
    <m/>
    <n v="74846"/>
    <n v="62895.798319327732"/>
  </r>
  <r>
    <s v="Linares"/>
    <n v="220151"/>
    <d v="2025-12-02T11:47:55"/>
    <s v="66666666-6"/>
    <s v="Cliente LINARES Generico"/>
    <x v="1"/>
    <s v="Linares"/>
    <s v="Eduardo"/>
    <n v="31350"/>
    <n v="0"/>
    <n v="0"/>
    <s v="D√©bito"/>
    <s v="En Caja Operacional"/>
    <n v="472866"/>
    <m/>
    <n v="31350"/>
    <n v="26344.537815126052"/>
  </r>
  <r>
    <s v="Geronimo Mendez"/>
    <n v="220150"/>
    <d v="2025-12-02T11:38:35"/>
    <s v="66666666-6"/>
    <s v="Cliente retail generico"/>
    <x v="17"/>
    <s v="Ventas Local"/>
    <s v="SoporteVenta"/>
    <n v="32242"/>
    <n v="0"/>
    <n v="0"/>
    <s v="D√©bito"/>
    <s v="En Caja Operacional"/>
    <n v="753472"/>
    <m/>
    <n v="32242"/>
    <n v="27094.117647058825"/>
  </r>
  <r>
    <s v="Geronimo Mendez"/>
    <n v="220149"/>
    <d v="2025-12-02T11:34:09"/>
    <s v="77972009-8"/>
    <s v="COMERCIAL R P LIMITADA"/>
    <x v="8"/>
    <s v="Ventas Local"/>
    <s v="SoporteVenta"/>
    <n v="186560"/>
    <n v="0"/>
    <n v="0"/>
    <s v="D√©bito"/>
    <s v="En Caja Operacional"/>
    <n v="332289"/>
    <m/>
    <n v="186560"/>
    <n v="156773.10924369749"/>
  </r>
  <r>
    <s v="Linares"/>
    <n v="220148"/>
    <d v="2025-12-02T11:22:33"/>
    <s v="66666666-6"/>
    <s v="Cliente LINARES Generico"/>
    <x v="1"/>
    <s v="Linares"/>
    <s v="Eduardo"/>
    <n v="30965"/>
    <n v="0"/>
    <n v="0"/>
    <s v="D√©bito"/>
    <s v="En Caja Operacional"/>
    <n v="774418"/>
    <m/>
    <n v="30965"/>
    <n v="26021.008403361346"/>
  </r>
  <r>
    <s v="Geronimo Mendez"/>
    <n v="220147"/>
    <d v="2025-12-02T10:45:23"/>
    <s v="77500195-K"/>
    <s v="GALVEZ AUTOMECANICA SPA"/>
    <x v="8"/>
    <s v="Ventas Local"/>
    <s v="SoporteVenta"/>
    <n v="39947"/>
    <n v="0"/>
    <n v="0"/>
    <s v="D√©bito"/>
    <s v="En Caja Operacional"/>
    <n v="39947"/>
    <m/>
    <n v="39947"/>
    <n v="33568.907563025212"/>
  </r>
  <r>
    <s v="Rojas Magallanes"/>
    <n v="220146"/>
    <d v="2025-12-02T10:42:08"/>
    <s v="66666666-6"/>
    <s v="Cliente ROJAS MAGALLANES Generico"/>
    <x v="5"/>
    <s v="Rojas Magallanes"/>
    <s v="Marisol"/>
    <n v="39325"/>
    <n v="0"/>
    <n v="0"/>
    <s v="Cr√©dito"/>
    <s v="En Caja Operacional"/>
    <n v="562740"/>
    <m/>
    <n v="39325"/>
    <n v="33046.218487394959"/>
  </r>
  <r>
    <s v="Linares"/>
    <n v="220145"/>
    <d v="2025-12-02T10:35:04"/>
    <s v="66666666-6"/>
    <s v="Cliente LINARES Generico"/>
    <x v="1"/>
    <s v="Linares"/>
    <s v="Eduardo"/>
    <n v="62632"/>
    <n v="0"/>
    <n v="0"/>
    <s v="Efectivo"/>
    <s v="En Caja Operacional"/>
    <m/>
    <m/>
    <n v="62632"/>
    <n v="52631.932773109249"/>
  </r>
  <r>
    <s v="Rojas Magallanes"/>
    <n v="220144"/>
    <d v="2025-12-02T10:32:48"/>
    <s v="66666666-6"/>
    <s v="Cliente ROJAS MAGALLANES Generico"/>
    <x v="5"/>
    <s v="Rojas Magallanes"/>
    <s v="Cristian"/>
    <n v="6566"/>
    <n v="0"/>
    <n v="0"/>
    <s v="Efectivo"/>
    <s v="En Caja Operacional"/>
    <m/>
    <m/>
    <n v="6566"/>
    <n v="5517.6470588235297"/>
  </r>
  <r>
    <s v="Linares"/>
    <n v="220143"/>
    <d v="2025-12-02T10:26:02"/>
    <s v="66666666-6"/>
    <s v="Cliente LINARES Generico"/>
    <x v="1"/>
    <s v="Linares"/>
    <s v="Eduardo"/>
    <n v="33550"/>
    <n v="0"/>
    <n v="0"/>
    <s v="Efectivo"/>
    <s v="En Caja Operacional"/>
    <m/>
    <m/>
    <n v="33550"/>
    <n v="28193.277310924372"/>
  </r>
  <r>
    <s v="Geronimo Mendez"/>
    <n v="220142"/>
    <d v="2025-12-02T10:15:35"/>
    <s v="77307843-2"/>
    <s v="COMERCIAL PAULA FRANCISCA MILLA ORTIZ EIRL"/>
    <x v="4"/>
    <s v="Contraloria"/>
    <s v="Selene"/>
    <n v="130561"/>
    <n v="0"/>
    <n v="3"/>
    <s v="Efectivo"/>
    <s v="En Caja Operacional"/>
    <m/>
    <m/>
    <n v="130561"/>
    <n v="109715.12605042018"/>
  </r>
  <r>
    <s v="Geronimo Mendez"/>
    <n v="220141"/>
    <d v="2025-12-02T10:14:11"/>
    <s v="9341458-6"/>
    <s v="GUILLERMO ARAYA"/>
    <x v="4"/>
    <s v="Contraloria"/>
    <s v="Selene"/>
    <n v="50000"/>
    <n v="0"/>
    <n v="0"/>
    <s v="Efectivo"/>
    <s v="En Caja Operacional"/>
    <m/>
    <m/>
    <n v="50000"/>
    <n v="42016.806722689078"/>
  </r>
  <r>
    <s v="Geronimo Mendez"/>
    <n v="220140"/>
    <d v="2025-12-02T10:13:13"/>
    <s v="10447980-4"/>
    <s v="PATRICIO VIDAL"/>
    <x v="4"/>
    <s v="Contraloria"/>
    <s v="Selene"/>
    <n v="100000"/>
    <n v="0"/>
    <n v="0"/>
    <s v="Efectivo"/>
    <s v="En Caja Operacional"/>
    <m/>
    <m/>
    <n v="100000"/>
    <n v="84033.613445378156"/>
  </r>
  <r>
    <s v="Geronimo Mendez"/>
    <n v="220139"/>
    <d v="2025-12-02T10:05:26"/>
    <s v="78167207-6"/>
    <s v="QUIROPRACTICO EDWIN CONTRERAS SPA"/>
    <x v="8"/>
    <s v="Ventas Local"/>
    <s v="Maiko"/>
    <n v="751414"/>
    <n v="0"/>
    <n v="0"/>
    <s v="Cr√©dito"/>
    <s v="En Caja Operacional"/>
    <n v="539187"/>
    <m/>
    <n v="751414"/>
    <n v="631440.33613445377"/>
  </r>
  <r>
    <s v="Antillanca"/>
    <n v="220138"/>
    <d v="2025-12-02T09:54:00"/>
    <s v="76570208-9"/>
    <s v="LOGISTICA MY TRUCKS LIMITADA"/>
    <x v="9"/>
    <s v="Antillanca"/>
    <s v="Nataly"/>
    <n v="618800"/>
    <n v="0"/>
    <n v="0"/>
    <s v="Transferencia"/>
    <s v="En Caja Operacional"/>
    <n v="338"/>
    <m/>
    <n v="618800"/>
    <n v="520000"/>
  </r>
  <r>
    <s v="Geronimo Mendez"/>
    <n v="220137"/>
    <d v="2025-12-02T09:44:26"/>
    <s v="77603917-9"/>
    <s v="METAINER SPA"/>
    <x v="14"/>
    <s v="Ventas Local"/>
    <s v="SoporteVenta"/>
    <n v="247213"/>
    <n v="0"/>
    <n v="0"/>
    <s v="Transferencia"/>
    <s v="En Caja Operacional"/>
    <n v="274995"/>
    <m/>
    <n v="247213"/>
    <n v="207742.01680672271"/>
  </r>
  <r>
    <s v="Ovalle"/>
    <n v="220136"/>
    <d v="2025-12-02T09:38:06"/>
    <s v="66666666-6"/>
    <s v="Cliente OVALLE Generico"/>
    <x v="6"/>
    <s v="Ovalle"/>
    <s v="Emilio"/>
    <n v="44868"/>
    <n v="0"/>
    <n v="0"/>
    <s v="Efectivo"/>
    <s v="En Caja Operacional"/>
    <m/>
    <m/>
    <n v="44868"/>
    <n v="37704.201680672268"/>
  </r>
  <r>
    <s v="Ovalle"/>
    <n v="220135"/>
    <d v="2025-12-02T09:28:48"/>
    <s v="12569531-0"/>
    <s v="EMILIO SANTOS"/>
    <x v="6"/>
    <s v="Ovalle"/>
    <s v="Emilio"/>
    <n v="133790"/>
    <n v="0"/>
    <n v="0"/>
    <s v="D√©bito"/>
    <s v="En Caja Operacional"/>
    <n v="2994"/>
    <m/>
    <n v="133790"/>
    <n v="112428.57142857143"/>
  </r>
  <r>
    <s v="Antillanca"/>
    <n v="220134"/>
    <d v="2025-12-02T09:23:07"/>
    <s v="77323302-0"/>
    <s v="REPUESTOS RACAMAR SPA"/>
    <x v="10"/>
    <s v="Antillanca"/>
    <s v="Nataly"/>
    <n v="195775"/>
    <n v="0"/>
    <n v="0"/>
    <s v="Transferencia"/>
    <s v="En Caja Operacional"/>
    <n v="29"/>
    <m/>
    <n v="195775"/>
    <n v="164516.80672268907"/>
  </r>
  <r>
    <s v="Linares"/>
    <n v="220133"/>
    <d v="2025-12-02T09:15:41"/>
    <s v="66666666-6"/>
    <s v="Cliente LINARES Generico"/>
    <x v="1"/>
    <s v="Linares"/>
    <s v="Eduardo"/>
    <n v="71556"/>
    <n v="0"/>
    <n v="0"/>
    <s v="Efectivo"/>
    <s v="En Caja Operacional"/>
    <m/>
    <m/>
    <n v="71556"/>
    <n v="60131.092436974795"/>
  </r>
  <r>
    <s v="Antillanca"/>
    <n v="220132"/>
    <d v="2025-12-02T09:09:05"/>
    <s v="78837550-6"/>
    <s v="SERVICIOS MANTENCION Y TRANSPORTE LTDA"/>
    <x v="13"/>
    <s v="Antillanca"/>
    <s v="Nataly"/>
    <n v="591589"/>
    <n v="0"/>
    <n v="0"/>
    <s v="Transferencia"/>
    <s v="En Caja Operacional"/>
    <n v="8"/>
    <m/>
    <n v="591589"/>
    <n v="497133.6134453782"/>
  </r>
  <r>
    <s v="Antillanca"/>
    <n v="220131"/>
    <d v="2025-12-02T09:00:24"/>
    <s v="77680169-0"/>
    <s v="NU√ëEZ SERVICIO AUTOMOTRIZ INTEGRAL SPA"/>
    <x v="10"/>
    <s v="Antillanca"/>
    <s v="Nataly"/>
    <n v="175187"/>
    <n v="0"/>
    <n v="0"/>
    <s v="Transferencia"/>
    <s v="En Caja Operacional"/>
    <n v="5"/>
    <m/>
    <n v="175187"/>
    <n v="147215.96638655462"/>
  </r>
  <r>
    <s v="Rojas Magallanes"/>
    <n v="220130"/>
    <d v="2025-12-01T17:58:20"/>
    <s v="13836522-0"/>
    <s v="CRISTIAN ORLANDO LEIVA"/>
    <x v="12"/>
    <s v="Rojas Magallanes"/>
    <s v="Marisol"/>
    <n v="227442"/>
    <n v="0"/>
    <n v="0"/>
    <s v="D√©bito"/>
    <s v="En Caja Operacional"/>
    <n v="209209"/>
    <m/>
    <n v="227442"/>
    <n v="191127.731092437"/>
  </r>
  <r>
    <s v="Linares"/>
    <n v="220129"/>
    <d v="2025-12-01T17:45:02"/>
    <s v="66666666-6"/>
    <s v="Cliente LINARES Generico"/>
    <x v="1"/>
    <s v="Linares"/>
    <s v="Eduardo"/>
    <n v="43140"/>
    <n v="0"/>
    <n v="0"/>
    <s v="D√©bito"/>
    <s v="En Caja Operacional"/>
    <n v="676"/>
    <m/>
    <n v="43140"/>
    <n v="36252.100840336134"/>
  </r>
  <r>
    <s v="Linares"/>
    <n v="220128"/>
    <d v="2025-12-01T17:34:08"/>
    <s v="66666666-6"/>
    <s v="Cliente LINARES Generico"/>
    <x v="1"/>
    <s v="Linares"/>
    <s v="Eduardo"/>
    <n v="38537"/>
    <n v="0"/>
    <n v="0"/>
    <s v="D√©bito"/>
    <s v="En Caja Operacional"/>
    <n v="331804"/>
    <m/>
    <n v="38537"/>
    <n v="32384.033613445379"/>
  </r>
  <r>
    <s v="Linares"/>
    <n v="220127"/>
    <d v="2025-12-01T17:18:27"/>
    <s v="77666086-8"/>
    <s v="SERVICIO A LA MINERIA SPA"/>
    <x v="1"/>
    <s v="Linares"/>
    <s v="Eduardo"/>
    <n v="227093"/>
    <n v="0"/>
    <n v="0"/>
    <s v="D√©bito"/>
    <s v="En Caja Operacional"/>
    <n v="173372"/>
    <m/>
    <n v="227093"/>
    <n v="190834.45378151262"/>
  </r>
  <r>
    <s v="Rojas Magallanes"/>
    <n v="220126"/>
    <d v="2025-12-01T16:44:34"/>
    <s v="66666666-6"/>
    <s v="Cliente ROJAS MAGALLANES Generico"/>
    <x v="5"/>
    <s v="Rojas Magallanes"/>
    <s v="Cristian"/>
    <n v="38951"/>
    <n v="0"/>
    <n v="0"/>
    <s v="Efectivo"/>
    <s v="En Caja Operacional"/>
    <m/>
    <m/>
    <n v="38951"/>
    <n v="32731.932773109245"/>
  </r>
  <r>
    <s v="Linares"/>
    <n v="220125"/>
    <d v="2025-12-01T16:34:15"/>
    <s v="66666666-6"/>
    <s v="Cliente LINARES Generico"/>
    <x v="1"/>
    <s v="Linares"/>
    <s v="Eduardo"/>
    <n v="106755"/>
    <n v="0"/>
    <n v="0"/>
    <s v="D√©bito"/>
    <s v="En Caja Operacional"/>
    <n v="18188"/>
    <m/>
    <n v="106755"/>
    <n v="89710.084033613442"/>
  </r>
  <r>
    <s v="Geronimo Mendez"/>
    <n v="220124"/>
    <d v="2025-12-01T16:29:29"/>
    <s v="77202500-9"/>
    <s v="COMERCIALIZADORA E INVERSIONES ALTAMAR LTDA"/>
    <x v="8"/>
    <s v="Ventas Local"/>
    <s v="SoporteVenta"/>
    <n v="653086"/>
    <n v="0"/>
    <n v="0"/>
    <s v="Transferencia"/>
    <s v="En Caja Operacional"/>
    <n v="274994"/>
    <m/>
    <n v="653086"/>
    <n v="548811.76470588241"/>
  </r>
  <r>
    <s v="Ovalle"/>
    <n v="220123"/>
    <d v="2025-12-01T15:46:45"/>
    <s v="66666666-6"/>
    <s v="Cliente OVALLE Generico"/>
    <x v="6"/>
    <s v="Ovalle"/>
    <s v="Emilio"/>
    <n v="114698"/>
    <n v="0"/>
    <n v="0"/>
    <s v="D√©bito"/>
    <s v="En Caja Operacional"/>
    <n v="5911"/>
    <m/>
    <n v="114698"/>
    <n v="96384.873949579836"/>
  </r>
  <r>
    <s v="Linares"/>
    <n v="220122"/>
    <d v="2025-12-01T15:33:13"/>
    <s v="9262987-2"/>
    <s v="EDUARDO ENRIQUE PONCE"/>
    <x v="1"/>
    <s v="Linares"/>
    <s v="Eduardo"/>
    <n v="107472"/>
    <n v="0"/>
    <n v="0"/>
    <s v="Efectivo"/>
    <s v="En Caja Operacional"/>
    <m/>
    <m/>
    <n v="27686"/>
    <n v="23265.546218487398"/>
  </r>
  <r>
    <s v="Linares"/>
    <n v="220122"/>
    <d v="2025-12-01T15:33:13"/>
    <s v="9262987-2"/>
    <s v="EDUARDO ENRIQUE PONCE"/>
    <x v="1"/>
    <s v="Linares"/>
    <s v="Eduardo"/>
    <n v="107472"/>
    <n v="0"/>
    <n v="0"/>
    <s v="D√©bito"/>
    <s v="En Caja Operacional"/>
    <n v="5191"/>
    <m/>
    <n v="79786"/>
    <n v="67047.058823529413"/>
  </r>
  <r>
    <s v="Linares"/>
    <n v="220121"/>
    <d v="2025-12-01T15:22:49"/>
    <s v="11608410-4"/>
    <s v="IRIS AGUILAR"/>
    <x v="1"/>
    <s v="Linares"/>
    <s v="Eduardo"/>
    <n v="107489"/>
    <n v="0"/>
    <n v="0"/>
    <s v="Efectivo"/>
    <s v="En Caja Operacional"/>
    <m/>
    <m/>
    <n v="107489"/>
    <n v="90326.890756302528"/>
  </r>
  <r>
    <s v="Ovalle"/>
    <n v="220120"/>
    <d v="2025-12-01T15:21:15"/>
    <s v="66666666-6"/>
    <s v="Cliente OVALLE Generico"/>
    <x v="6"/>
    <s v="Ovalle"/>
    <s v="Emilio"/>
    <n v="30636"/>
    <n v="0"/>
    <n v="0"/>
    <s v="D√©bito"/>
    <s v="En Caja Operacional"/>
    <n v="458535"/>
    <m/>
    <n v="30636"/>
    <n v="25744.537815126052"/>
  </r>
  <r>
    <s v="Rojas Magallanes"/>
    <n v="220119"/>
    <d v="2025-12-01T13:38:25"/>
    <s v="76180156-2"/>
    <s v="REPUESTOS CDL LIMITADA"/>
    <x v="5"/>
    <s v="Rojas Magallanes"/>
    <s v="Marisol"/>
    <n v="350165"/>
    <n v="0"/>
    <n v="0"/>
    <s v="Transferencia"/>
    <s v="En Caja Operacional"/>
    <n v="272229"/>
    <m/>
    <n v="350165"/>
    <n v="294256.30252100842"/>
  </r>
  <r>
    <s v="Geronimo Mendez"/>
    <n v="220118"/>
    <d v="2025-12-01T13:08:41"/>
    <s v="12423920-6"/>
    <s v="CRISTIAN TAPIA"/>
    <x v="8"/>
    <s v="Ventas Local"/>
    <s v="Maiko"/>
    <n v="1485196"/>
    <n v="0"/>
    <n v="0"/>
    <s v="Cr√©dito"/>
    <s v="En Caja Operacional"/>
    <n v="773791"/>
    <m/>
    <n v="1485196"/>
    <n v="1248063.8655462186"/>
  </r>
  <r>
    <s v="Linares"/>
    <n v="220117"/>
    <d v="2025-12-01T12:51:13"/>
    <s v="66666666-6"/>
    <s v="Cliente LINARES Generico"/>
    <x v="1"/>
    <s v="Linares"/>
    <s v="Eduardo"/>
    <n v="31350"/>
    <n v="0"/>
    <n v="0"/>
    <s v="Efectivo"/>
    <s v="En Caja Operacional"/>
    <m/>
    <m/>
    <n v="31350"/>
    <n v="26344.537815126052"/>
  </r>
  <r>
    <s v="Ovalle"/>
    <n v="220116"/>
    <d v="2025-12-01T12:40:10"/>
    <s v="66666666-6"/>
    <s v="Cliente OVALLE Generico"/>
    <x v="6"/>
    <s v="Ovalle"/>
    <s v="Emilio"/>
    <n v="24319"/>
    <n v="0"/>
    <n v="180"/>
    <s v="Efectivo"/>
    <s v="En Caja Operacional"/>
    <m/>
    <m/>
    <n v="24319"/>
    <n v="20436.134453781513"/>
  </r>
  <r>
    <s v="Rojas Magallanes"/>
    <n v="220115"/>
    <d v="2025-12-01T12:26:36"/>
    <s v="66666666-6"/>
    <s v="Cliente ROJAS MAGALLANES Generico"/>
    <x v="5"/>
    <s v="Rojas Magallanes"/>
    <s v="Marisol"/>
    <n v="30739"/>
    <n v="0"/>
    <n v="0"/>
    <s v="D√©bito"/>
    <s v="En Caja Operacional"/>
    <n v="612874"/>
    <m/>
    <n v="30739"/>
    <n v="25831.092436974792"/>
  </r>
  <r>
    <s v="Geronimo Mendez"/>
    <n v="220114"/>
    <d v="2025-12-01T12:13:28"/>
    <s v="6276438-4"/>
    <s v="IVAR TORRES"/>
    <x v="8"/>
    <s v="Ventas Local"/>
    <s v="Maiko"/>
    <n v="66185"/>
    <n v="0"/>
    <n v="0"/>
    <s v="Efectivo"/>
    <s v="En Caja Operacional"/>
    <m/>
    <m/>
    <n v="66185"/>
    <n v="55617.647058823532"/>
  </r>
  <r>
    <s v="Linares"/>
    <n v="220113"/>
    <d v="2025-12-01T12:06:24"/>
    <s v="66666666-6"/>
    <s v="Cliente LINARES Generico"/>
    <x v="1"/>
    <s v="Linares"/>
    <s v="Eduardo"/>
    <n v="36890"/>
    <n v="0"/>
    <n v="0"/>
    <s v="Efectivo"/>
    <s v="En Caja Operacional"/>
    <m/>
    <m/>
    <n v="36890"/>
    <n v="31000"/>
  </r>
  <r>
    <s v="Linares"/>
    <n v="220112"/>
    <d v="2025-12-01T12:01:00"/>
    <s v="66666666-6"/>
    <s v="Cliente LINARES Generico"/>
    <x v="1"/>
    <s v="Linares"/>
    <s v="Eduardo"/>
    <n v="30739"/>
    <n v="0"/>
    <n v="0"/>
    <s v="D√©bito"/>
    <s v="En Caja Operacional"/>
    <n v="29097"/>
    <m/>
    <n v="30739"/>
    <n v="25831.092436974792"/>
  </r>
  <r>
    <s v="Linares"/>
    <n v="220111"/>
    <d v="2025-12-01T11:50:12"/>
    <s v="66666666-6"/>
    <s v="Cliente LINARES Generico"/>
    <x v="1"/>
    <s v="Linares"/>
    <s v="Eduardo"/>
    <n v="37423"/>
    <n v="0"/>
    <n v="0"/>
    <s v="D√©bito"/>
    <s v="En Caja Operacional"/>
    <n v="900004"/>
    <m/>
    <n v="37423"/>
    <n v="31447.899159663866"/>
  </r>
  <r>
    <s v="Geronimo Mendez"/>
    <n v="220110"/>
    <d v="2025-12-01T11:41:11"/>
    <s v="13179642-0"/>
    <s v="PEDRO HERRERA"/>
    <x v="8"/>
    <s v="Ventas Local"/>
    <s v="Maiko"/>
    <n v="332498"/>
    <n v="0"/>
    <n v="0"/>
    <s v="D√©bito"/>
    <s v="En Caja Operacional"/>
    <n v="42951"/>
    <m/>
    <n v="332498"/>
    <n v="279410.08403361344"/>
  </r>
  <r>
    <s v="Rojas Magallanes"/>
    <n v="220109"/>
    <d v="2025-12-01T11:11:56"/>
    <s v="66666666-6"/>
    <s v="Cliente ROJAS MAGALLANES Generico"/>
    <x v="5"/>
    <s v="Rojas Magallanes"/>
    <s v="Marisol"/>
    <n v="35573"/>
    <n v="0"/>
    <n v="0"/>
    <s v="Cr√©dito"/>
    <s v="En Caja Operacional"/>
    <n v="885989"/>
    <m/>
    <n v="35573"/>
    <n v="29893.277310924372"/>
  </r>
  <r>
    <s v="Geronimo Mendez"/>
    <n v="220108"/>
    <d v="2025-12-01T10:40:18"/>
    <s v="77036868-5"/>
    <s v="TRANSPORTES OSCAR VARELA E I R L"/>
    <x v="8"/>
    <s v="Ventas Local"/>
    <s v="Maiko"/>
    <n v="404886"/>
    <n v="0"/>
    <n v="0"/>
    <s v="D√©bito"/>
    <s v="En Caja Operacional"/>
    <n v="380259"/>
    <m/>
    <n v="404886"/>
    <n v="340240.33613445377"/>
  </r>
  <r>
    <s v="Ovalle"/>
    <n v="220107"/>
    <d v="2025-12-01T10:19:40"/>
    <s v="66666666-6"/>
    <s v="Cliente OVALLE Generico"/>
    <x v="6"/>
    <s v="Ovalle"/>
    <s v="Emilio"/>
    <n v="13856"/>
    <n v="0"/>
    <n v="0"/>
    <s v="Efectivo"/>
    <s v="En Caja Operacional"/>
    <m/>
    <m/>
    <n v="13856"/>
    <n v="11643.697478991597"/>
  </r>
  <r>
    <s v="Antillanca"/>
    <n v="220106"/>
    <d v="2025-12-01T10:14:55"/>
    <s v="12916514-6"/>
    <s v="IVON DEL PILAR GOMEZ"/>
    <x v="12"/>
    <s v="Antillanca"/>
    <s v="Nataly"/>
    <n v="200434"/>
    <n v="0"/>
    <n v="0"/>
    <s v="Transferencia"/>
    <s v="En Caja Operacional"/>
    <n v="325"/>
    <m/>
    <n v="200434"/>
    <n v="168431.93277310926"/>
  </r>
  <r>
    <s v="Geronimo Mendez"/>
    <n v="220105"/>
    <d v="2025-12-01T10:08:07"/>
    <s v="77221332-8"/>
    <s v="TRANSPORTE SERVICIOS E INGENIERIA SPA"/>
    <x v="2"/>
    <s v="Ventas Local"/>
    <s v="SoporteVenta"/>
    <n v="407070"/>
    <n v="0"/>
    <n v="0"/>
    <s v="Cr√©dito"/>
    <s v="En Caja Operacional"/>
    <n v="470099"/>
    <m/>
    <n v="407070"/>
    <n v="342075.63025210088"/>
  </r>
  <r>
    <s v="Geronimo Mendez"/>
    <n v="220104"/>
    <d v="2025-12-01T10:06:40"/>
    <s v="18757177-4"/>
    <s v="BAYRON ANDRES DIAZ"/>
    <x v="0"/>
    <s v="Ventas Local"/>
    <s v="SoporteVenta"/>
    <n v="1783729"/>
    <n v="0"/>
    <n v="0"/>
    <s v="Cheque"/>
    <s v="En Caja Operacional"/>
    <n v="51"/>
    <d v="2025-12-30T00:00:00"/>
    <n v="445000"/>
    <n v="373949.57983193279"/>
  </r>
  <r>
    <s v="Geronimo Mendez"/>
    <n v="220104"/>
    <d v="2025-12-01T10:06:40"/>
    <s v="18757177-4"/>
    <s v="BAYRON ANDRES DIAZ"/>
    <x v="0"/>
    <s v="Ventas Local"/>
    <s v="SoporteVenta"/>
    <n v="1783729"/>
    <n v="0"/>
    <n v="0"/>
    <s v="Cheque"/>
    <s v="En Caja Operacional"/>
    <n v="52"/>
    <d v="2026-01-28T00:00:00"/>
    <n v="445000"/>
    <n v="373949.57983193279"/>
  </r>
  <r>
    <s v="Geronimo Mendez"/>
    <n v="220104"/>
    <d v="2025-12-01T10:06:40"/>
    <s v="18757177-4"/>
    <s v="BAYRON ANDRES DIAZ"/>
    <x v="0"/>
    <s v="Ventas Local"/>
    <s v="SoporteVenta"/>
    <n v="1783729"/>
    <n v="0"/>
    <n v="0"/>
    <s v="Cheque"/>
    <s v="En Caja Operacional"/>
    <n v="53"/>
    <d v="2026-02-28T00:00:00"/>
    <n v="445000"/>
    <n v="373949.57983193279"/>
  </r>
  <r>
    <s v="Geronimo Mendez"/>
    <n v="220104"/>
    <d v="2025-12-01T10:06:40"/>
    <s v="18757177-4"/>
    <s v="BAYRON ANDRES DIAZ"/>
    <x v="0"/>
    <s v="Ventas Local"/>
    <s v="SoporteVenta"/>
    <n v="1783729"/>
    <n v="0"/>
    <n v="0"/>
    <s v="Cheque"/>
    <s v="En Caja Operacional"/>
    <n v="54"/>
    <d v="2026-03-28T00:00:00"/>
    <n v="448729"/>
    <n v="377083.19327731093"/>
  </r>
  <r>
    <s v="Linares"/>
    <n v="220103"/>
    <d v="2025-12-01T09:55:29"/>
    <s v="66666666-6"/>
    <s v="Cliente LINARES Generico"/>
    <x v="1"/>
    <s v="Linares"/>
    <s v="Eduardo"/>
    <n v="42211"/>
    <n v="0"/>
    <n v="0"/>
    <s v="D√©bito"/>
    <s v="En Caja Operacional"/>
    <n v="415373"/>
    <m/>
    <n v="42211"/>
    <n v="35471.428571428572"/>
  </r>
  <r>
    <s v="Ovalle"/>
    <n v="220102"/>
    <d v="2025-12-01T09:44:55"/>
    <s v="66666666-6"/>
    <s v="Cliente OVALLE Generico"/>
    <x v="6"/>
    <s v="Ovalle"/>
    <s v="Emilio"/>
    <n v="4896"/>
    <n v="0"/>
    <n v="0"/>
    <s v="Efectivo"/>
    <s v="En Caja Operacional"/>
    <m/>
    <m/>
    <n v="4896"/>
    <n v="4114.2857142857147"/>
  </r>
  <r>
    <s v="Geronimo Mendez"/>
    <n v="220101"/>
    <d v="2025-12-01T09:43:06"/>
    <s v="11513562-7"/>
    <s v="MARCO CORDOVA"/>
    <x v="8"/>
    <s v="Ventas Local"/>
    <s v="Maiko"/>
    <n v="347492"/>
    <n v="0"/>
    <n v="0"/>
    <s v="D√©bito"/>
    <s v="En Caja Operacional"/>
    <n v="424269"/>
    <m/>
    <n v="347492"/>
    <n v="292010.08403361344"/>
  </r>
  <r>
    <s v="Linares"/>
    <n v="220100"/>
    <d v="2025-12-01T09:37:34"/>
    <s v="66666666-6"/>
    <s v="Cliente LINARES Generico"/>
    <x v="1"/>
    <s v="Linares"/>
    <s v="Eduardo"/>
    <n v="90966"/>
    <n v="0"/>
    <n v="0"/>
    <s v="Cr√©dito"/>
    <s v="En Caja Operacional"/>
    <n v="26616"/>
    <m/>
    <n v="90966"/>
    <n v="76442.016806722691"/>
  </r>
  <r>
    <s v="Geronimo Mendez"/>
    <n v="220100"/>
    <d v="2025-12-01T09:36:15"/>
    <s v="78218072-K"/>
    <s v="COMERCIALIZADORA DE REPTOS AUT. FRANCISCO FLORES EIRL"/>
    <x v="4"/>
    <s v="Ventas Local"/>
    <s v="Maiko"/>
    <n v="63758"/>
    <n v="0"/>
    <n v="0"/>
    <s v="D√©bito"/>
    <s v="En Caja Operacional"/>
    <n v="5611"/>
    <m/>
    <n v="63758"/>
    <n v="53578.151260504201"/>
  </r>
  <r>
    <s v="Geronimo Mendez"/>
    <n v="220099"/>
    <d v="2025-12-01T08:56:48"/>
    <s v="78218072-K"/>
    <s v="COMERCIALIZADORA DE REPTOS AUT. FRANCISCO FLORES EIRL"/>
    <x v="4"/>
    <s v="Ventas Local"/>
    <s v="Maiko"/>
    <n v="91347"/>
    <n v="0"/>
    <n v="0"/>
    <s v="Efectivo"/>
    <s v="En Caja Operacional"/>
    <m/>
    <m/>
    <n v="47000"/>
    <n v="39495.798319327732"/>
  </r>
  <r>
    <s v="Geronimo Mendez"/>
    <n v="220099"/>
    <d v="2025-12-01T08:56:48"/>
    <s v="78218072-K"/>
    <s v="COMERCIALIZADORA DE REPTOS AUT. FRANCISCO FLORES EIRL"/>
    <x v="4"/>
    <s v="Ventas Local"/>
    <s v="Maiko"/>
    <n v="91347"/>
    <n v="0"/>
    <n v="0"/>
    <s v="D√©bito"/>
    <s v="En Caja Operacional"/>
    <n v="13342"/>
    <m/>
    <n v="44347"/>
    <n v="37266.3865546218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F1E31-4F33-FA4F-A64D-6CBAA0B1BF7B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" firstHeaderRow="1" firstDataRow="1" firstDataCol="1"/>
  <pivotFields count="17">
    <pivotField showAll="0"/>
    <pivotField showAll="0"/>
    <pivotField numFmtId="14" showAll="0"/>
    <pivotField showAll="0"/>
    <pivotField showAll="0"/>
    <pivotField axis="axisRow" showAll="0">
      <items count="19">
        <item x="17"/>
        <item x="0"/>
        <item x="1"/>
        <item x="10"/>
        <item x="6"/>
        <item x="13"/>
        <item x="3"/>
        <item x="14"/>
        <item x="8"/>
        <item x="11"/>
        <item x="5"/>
        <item x="9"/>
        <item x="15"/>
        <item x="16"/>
        <item x="2"/>
        <item x="4"/>
        <item x="7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2" showAll="0"/>
    <pivotField dataField="1" numFmtId="42"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Monto devuelto" fld="16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C987-7848-2946-B9C4-859D237F9E7B}">
  <dimension ref="A3:B22"/>
  <sheetViews>
    <sheetView workbookViewId="0">
      <selection activeCell="B16" sqref="B16"/>
    </sheetView>
  </sheetViews>
  <sheetFormatPr baseColWidth="10" defaultRowHeight="16" x14ac:dyDescent="0.2"/>
  <cols>
    <col min="1" max="1" width="16.83203125" bestFit="1" customWidth="1"/>
    <col min="2" max="2" width="21.1640625" bestFit="1" customWidth="1"/>
  </cols>
  <sheetData>
    <row r="3" spans="1:2" x14ac:dyDescent="0.2">
      <c r="A3" s="3" t="s">
        <v>51</v>
      </c>
      <c r="B3" t="s">
        <v>53</v>
      </c>
    </row>
    <row r="4" spans="1:2" x14ac:dyDescent="0.2">
      <c r="A4" s="4" t="s">
        <v>50</v>
      </c>
      <c r="B4" s="5">
        <v>2048122.6890756299</v>
      </c>
    </row>
    <row r="5" spans="1:2" x14ac:dyDescent="0.2">
      <c r="A5" s="4" t="s">
        <v>18</v>
      </c>
      <c r="B5" s="5">
        <v>61602569.74789919</v>
      </c>
    </row>
    <row r="6" spans="1:2" x14ac:dyDescent="0.2">
      <c r="A6" s="4" t="s">
        <v>26</v>
      </c>
      <c r="B6" s="5">
        <v>15423799.159663863</v>
      </c>
    </row>
    <row r="7" spans="1:2" x14ac:dyDescent="0.2">
      <c r="A7" s="4" t="s">
        <v>44</v>
      </c>
      <c r="B7" s="5">
        <v>5826044.5378151275</v>
      </c>
    </row>
    <row r="8" spans="1:2" x14ac:dyDescent="0.2">
      <c r="A8" s="4" t="s">
        <v>40</v>
      </c>
      <c r="B8" s="5">
        <v>12781852.100840328</v>
      </c>
    </row>
    <row r="9" spans="1:2" x14ac:dyDescent="0.2">
      <c r="A9" s="4" t="s">
        <v>47</v>
      </c>
      <c r="B9" s="5">
        <v>23793490.756302521</v>
      </c>
    </row>
    <row r="10" spans="1:2" x14ac:dyDescent="0.2">
      <c r="A10" s="4" t="s">
        <v>34</v>
      </c>
      <c r="B10" s="5">
        <v>14066115.96638656</v>
      </c>
    </row>
    <row r="11" spans="1:2" x14ac:dyDescent="0.2">
      <c r="A11" s="4" t="s">
        <v>48</v>
      </c>
      <c r="B11" s="5">
        <v>8533466.386554623</v>
      </c>
    </row>
    <row r="12" spans="1:2" x14ac:dyDescent="0.2">
      <c r="A12" s="4" t="s">
        <v>42</v>
      </c>
      <c r="B12" s="5">
        <v>45095568.067226909</v>
      </c>
    </row>
    <row r="13" spans="1:2" x14ac:dyDescent="0.2">
      <c r="A13" s="4" t="s">
        <v>45</v>
      </c>
      <c r="B13" s="5">
        <v>3045536.9747899161</v>
      </c>
    </row>
    <row r="14" spans="1:2" x14ac:dyDescent="0.2">
      <c r="A14" s="4" t="s">
        <v>39</v>
      </c>
      <c r="B14" s="5">
        <v>7991321.8487394955</v>
      </c>
    </row>
    <row r="15" spans="1:2" x14ac:dyDescent="0.2">
      <c r="A15" s="4" t="s">
        <v>43</v>
      </c>
      <c r="B15" s="5">
        <v>41331792.436974779</v>
      </c>
    </row>
    <row r="16" spans="1:2" x14ac:dyDescent="0.2">
      <c r="A16" s="4" t="s">
        <v>49</v>
      </c>
      <c r="B16" s="5">
        <v>15695845.37815126</v>
      </c>
    </row>
    <row r="17" spans="1:2" x14ac:dyDescent="0.2">
      <c r="A17" s="4" t="s">
        <v>35</v>
      </c>
      <c r="B17" s="5">
        <v>30157182.352941178</v>
      </c>
    </row>
    <row r="18" spans="1:2" x14ac:dyDescent="0.2">
      <c r="A18" s="4" t="s">
        <v>30</v>
      </c>
      <c r="B18" s="5">
        <v>88898536.974789888</v>
      </c>
    </row>
    <row r="19" spans="1:2" x14ac:dyDescent="0.2">
      <c r="A19" s="4" t="s">
        <v>38</v>
      </c>
      <c r="B19" s="5">
        <v>94931040.336134568</v>
      </c>
    </row>
    <row r="20" spans="1:2" x14ac:dyDescent="0.2">
      <c r="A20" s="4" t="s">
        <v>41</v>
      </c>
      <c r="B20" s="5">
        <v>11746987.394957988</v>
      </c>
    </row>
    <row r="21" spans="1:2" x14ac:dyDescent="0.2">
      <c r="A21" s="4" t="s">
        <v>46</v>
      </c>
      <c r="B21" s="5">
        <v>10813578.991596639</v>
      </c>
    </row>
    <row r="22" spans="1:2" x14ac:dyDescent="0.2">
      <c r="A22" s="4" t="s">
        <v>52</v>
      </c>
      <c r="B22" s="5">
        <v>493782852.10084045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1F42-5347-1247-B94E-98A029523892}">
  <dimension ref="A1:Q10"/>
  <sheetViews>
    <sheetView tabSelected="1" workbookViewId="0">
      <selection activeCell="F14" sqref="F14"/>
    </sheetView>
  </sheetViews>
  <sheetFormatPr baseColWidth="10" defaultRowHeight="16" x14ac:dyDescent="0.2"/>
  <cols>
    <col min="3" max="3" width="10.83203125" style="1"/>
    <col min="16" max="17" width="10.83203125" style="2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55</v>
      </c>
      <c r="Q1" s="2" t="s">
        <v>54</v>
      </c>
    </row>
    <row r="2" spans="1:17" x14ac:dyDescent="0.2">
      <c r="A2" t="s">
        <v>15</v>
      </c>
      <c r="B2">
        <v>221457</v>
      </c>
      <c r="C2" s="1">
        <v>46022.56689814815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787780</v>
      </c>
      <c r="J2">
        <v>0</v>
      </c>
      <c r="K2">
        <v>0</v>
      </c>
      <c r="L2" t="s">
        <v>21</v>
      </c>
      <c r="M2" t="s">
        <v>22</v>
      </c>
      <c r="N2">
        <v>4623349</v>
      </c>
      <c r="O2" s="1">
        <v>45939</v>
      </c>
      <c r="P2" s="2">
        <v>787780</v>
      </c>
      <c r="Q2" s="2">
        <f>+P2/1.19</f>
        <v>662000</v>
      </c>
    </row>
    <row r="3" spans="1:17" x14ac:dyDescent="0.2">
      <c r="A3" t="s">
        <v>23</v>
      </c>
      <c r="B3">
        <v>221456</v>
      </c>
      <c r="C3" s="1">
        <v>46022.566111111111</v>
      </c>
      <c r="D3" t="s">
        <v>24</v>
      </c>
      <c r="E3" t="s">
        <v>25</v>
      </c>
      <c r="F3" t="s">
        <v>26</v>
      </c>
      <c r="G3" t="s">
        <v>23</v>
      </c>
      <c r="H3" t="s">
        <v>26</v>
      </c>
      <c r="I3">
        <v>43127</v>
      </c>
      <c r="J3">
        <v>0</v>
      </c>
      <c r="K3">
        <v>0</v>
      </c>
      <c r="L3" t="s">
        <v>27</v>
      </c>
      <c r="M3" t="s">
        <v>22</v>
      </c>
      <c r="P3" s="2">
        <v>43127</v>
      </c>
      <c r="Q3" s="2">
        <f t="shared" ref="Q3:Q10" si="0">+P3/1.19</f>
        <v>36241.176470588238</v>
      </c>
    </row>
    <row r="4" spans="1:17" x14ac:dyDescent="0.2">
      <c r="A4" t="s">
        <v>15</v>
      </c>
      <c r="B4">
        <v>221455</v>
      </c>
      <c r="C4" s="1">
        <v>46022.564398148148</v>
      </c>
      <c r="D4" t="s">
        <v>28</v>
      </c>
      <c r="E4" t="s">
        <v>29</v>
      </c>
      <c r="F4" t="s">
        <v>30</v>
      </c>
      <c r="G4" t="s">
        <v>19</v>
      </c>
      <c r="H4" t="s">
        <v>20</v>
      </c>
      <c r="I4">
        <v>1084469</v>
      </c>
      <c r="J4">
        <v>0</v>
      </c>
      <c r="K4">
        <v>1</v>
      </c>
      <c r="L4" t="s">
        <v>21</v>
      </c>
      <c r="M4" t="s">
        <v>22</v>
      </c>
      <c r="N4">
        <v>13924</v>
      </c>
      <c r="O4" s="1">
        <v>46017</v>
      </c>
      <c r="P4" s="2">
        <v>750905</v>
      </c>
      <c r="Q4" s="2">
        <f t="shared" si="0"/>
        <v>631012.60504201683</v>
      </c>
    </row>
    <row r="5" spans="1:17" x14ac:dyDescent="0.2">
      <c r="A5" t="s">
        <v>15</v>
      </c>
      <c r="B5">
        <v>221455</v>
      </c>
      <c r="C5" s="1">
        <v>46022.564398148148</v>
      </c>
      <c r="D5" t="s">
        <v>28</v>
      </c>
      <c r="E5" t="s">
        <v>29</v>
      </c>
      <c r="F5" t="s">
        <v>30</v>
      </c>
      <c r="G5" t="s">
        <v>19</v>
      </c>
      <c r="H5" t="s">
        <v>20</v>
      </c>
      <c r="I5">
        <v>1084469</v>
      </c>
      <c r="J5">
        <v>0</v>
      </c>
      <c r="K5">
        <v>1</v>
      </c>
      <c r="L5" t="s">
        <v>21</v>
      </c>
      <c r="M5" t="s">
        <v>22</v>
      </c>
      <c r="N5">
        <v>13909</v>
      </c>
      <c r="O5" s="1">
        <v>46010</v>
      </c>
      <c r="P5" s="2">
        <v>333564</v>
      </c>
      <c r="Q5" s="2">
        <f t="shared" si="0"/>
        <v>280305.8823529412</v>
      </c>
    </row>
    <row r="6" spans="1:17" x14ac:dyDescent="0.2">
      <c r="A6" t="s">
        <v>31</v>
      </c>
      <c r="B6">
        <v>221454</v>
      </c>
      <c r="C6" s="1">
        <v>46022.563738425924</v>
      </c>
      <c r="D6" t="s">
        <v>32</v>
      </c>
      <c r="E6" t="s">
        <v>33</v>
      </c>
      <c r="F6" t="s">
        <v>34</v>
      </c>
      <c r="G6" t="s">
        <v>31</v>
      </c>
      <c r="H6" t="s">
        <v>35</v>
      </c>
      <c r="I6">
        <v>221268</v>
      </c>
      <c r="J6">
        <v>0</v>
      </c>
      <c r="K6">
        <v>0</v>
      </c>
      <c r="L6" t="s">
        <v>21</v>
      </c>
      <c r="M6" t="s">
        <v>22</v>
      </c>
      <c r="N6">
        <v>192</v>
      </c>
      <c r="O6" s="1">
        <v>46052</v>
      </c>
      <c r="P6" s="2">
        <v>110634</v>
      </c>
      <c r="Q6" s="2">
        <f t="shared" si="0"/>
        <v>92969.747899159673</v>
      </c>
    </row>
    <row r="7" spans="1:17" x14ac:dyDescent="0.2">
      <c r="A7" t="s">
        <v>31</v>
      </c>
      <c r="B7">
        <v>221454</v>
      </c>
      <c r="C7" s="1">
        <v>46022.563738425924</v>
      </c>
      <c r="D7" t="s">
        <v>32</v>
      </c>
      <c r="E7" t="s">
        <v>33</v>
      </c>
      <c r="F7" t="s">
        <v>34</v>
      </c>
      <c r="G7" t="s">
        <v>31</v>
      </c>
      <c r="H7" t="s">
        <v>35</v>
      </c>
      <c r="I7">
        <v>221268</v>
      </c>
      <c r="J7">
        <v>0</v>
      </c>
      <c r="K7">
        <v>0</v>
      </c>
      <c r="L7" t="s">
        <v>21</v>
      </c>
      <c r="M7" t="s">
        <v>22</v>
      </c>
      <c r="N7">
        <v>191</v>
      </c>
      <c r="O7" s="1">
        <v>46021</v>
      </c>
      <c r="P7" s="2">
        <v>110634</v>
      </c>
      <c r="Q7" s="2">
        <f t="shared" si="0"/>
        <v>92969.747899159673</v>
      </c>
    </row>
    <row r="8" spans="1:17" x14ac:dyDescent="0.2">
      <c r="A8" t="s">
        <v>31</v>
      </c>
      <c r="B8">
        <v>221453</v>
      </c>
      <c r="C8" s="1">
        <v>46022.561307870368</v>
      </c>
      <c r="D8" t="s">
        <v>36</v>
      </c>
      <c r="E8" t="s">
        <v>37</v>
      </c>
      <c r="F8" t="s">
        <v>34</v>
      </c>
      <c r="G8" t="s">
        <v>31</v>
      </c>
      <c r="H8" t="s">
        <v>35</v>
      </c>
      <c r="I8">
        <v>412239</v>
      </c>
      <c r="J8">
        <v>0</v>
      </c>
      <c r="K8">
        <v>1</v>
      </c>
      <c r="L8" t="s">
        <v>21</v>
      </c>
      <c r="M8" t="s">
        <v>22</v>
      </c>
      <c r="N8">
        <v>3816190</v>
      </c>
      <c r="O8" s="1">
        <v>46027</v>
      </c>
      <c r="P8" s="2">
        <v>137413</v>
      </c>
      <c r="Q8" s="2">
        <f t="shared" si="0"/>
        <v>115473.10924369749</v>
      </c>
    </row>
    <row r="9" spans="1:17" x14ac:dyDescent="0.2">
      <c r="A9" t="s">
        <v>31</v>
      </c>
      <c r="B9">
        <v>221453</v>
      </c>
      <c r="C9" s="1">
        <v>46022.561307870368</v>
      </c>
      <c r="D9" t="s">
        <v>36</v>
      </c>
      <c r="E9" t="s">
        <v>37</v>
      </c>
      <c r="F9" t="s">
        <v>34</v>
      </c>
      <c r="G9" t="s">
        <v>31</v>
      </c>
      <c r="H9" t="s">
        <v>35</v>
      </c>
      <c r="I9">
        <v>412239</v>
      </c>
      <c r="J9">
        <v>0</v>
      </c>
      <c r="K9">
        <v>1</v>
      </c>
      <c r="L9" t="s">
        <v>21</v>
      </c>
      <c r="M9" t="s">
        <v>22</v>
      </c>
      <c r="N9">
        <v>3816191</v>
      </c>
      <c r="O9" s="1">
        <v>46040</v>
      </c>
      <c r="P9" s="2">
        <v>137413</v>
      </c>
      <c r="Q9" s="2">
        <f t="shared" si="0"/>
        <v>115473.10924369749</v>
      </c>
    </row>
    <row r="10" spans="1:17" x14ac:dyDescent="0.2">
      <c r="A10" t="s">
        <v>31</v>
      </c>
      <c r="B10">
        <v>221453</v>
      </c>
      <c r="C10" s="1">
        <v>46022.561307870368</v>
      </c>
      <c r="D10" t="s">
        <v>36</v>
      </c>
      <c r="E10" t="s">
        <v>37</v>
      </c>
      <c r="F10" t="s">
        <v>34</v>
      </c>
      <c r="G10" t="s">
        <v>31</v>
      </c>
      <c r="H10" t="s">
        <v>35</v>
      </c>
      <c r="I10">
        <v>412239</v>
      </c>
      <c r="J10">
        <v>0</v>
      </c>
      <c r="K10">
        <v>1</v>
      </c>
      <c r="L10" t="s">
        <v>21</v>
      </c>
      <c r="M10" t="s">
        <v>22</v>
      </c>
      <c r="N10">
        <v>3816192</v>
      </c>
      <c r="O10" s="1">
        <v>46053</v>
      </c>
      <c r="P10" s="2">
        <v>137413</v>
      </c>
      <c r="Q10" s="2">
        <f t="shared" si="0"/>
        <v>115473.10924369749</v>
      </c>
    </row>
  </sheetData>
  <autoFilter ref="A1:Q10" xr:uid="{FA6B1F42-5347-1247-B94E-98A02952389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reporte ventas detalle 2025-12-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2025-12-31T17:01:21Z</dcterms:created>
  <dcterms:modified xsi:type="dcterms:W3CDTF">2026-01-08T11:58:53Z</dcterms:modified>
</cp:coreProperties>
</file>